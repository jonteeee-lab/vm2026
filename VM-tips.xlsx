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46730\Desktop\"/>
    </mc:Choice>
  </mc:AlternateContent>
  <xr:revisionPtr revIDLastSave="0" documentId="8_{DAF39A46-2FC6-4009-8171-F19FF12B61C6}" xr6:coauthVersionLast="47" xr6:coauthVersionMax="47" xr10:uidLastSave="{00000000-0000-0000-0000-000000000000}"/>
  <workbookProtection workbookAlgorithmName="SHA-512" workbookHashValue="pI+NxN2eYRZ3zim6U5QuVpeaVtC2Ed6+j3Hn6JG4hacFvF/i1BD4PyXT0Wh3OZ/fXPitpJWUR69v65efd2ZyQg==" workbookSaltValue="rJLbhZF0PpfzAC3sGHr1kw==" workbookSpinCount="100000" lockStructure="1"/>
  <bookViews>
    <workbookView xWindow="-120" yWindow="-120" windowWidth="38640" windowHeight="21390" xr2:uid="{00000000-000D-0000-FFFF-FFFF00000000}"/>
  </bookViews>
  <sheets>
    <sheet name="Tippa" sheetId="4" r:id="rId1"/>
    <sheet name="Rätta" sheetId="5" r:id="rId2"/>
    <sheet name="Kolla" sheetId="9" r:id="rId3"/>
    <sheet name="Beräkningar" sheetId="6" state="hidden" r:id="rId4"/>
    <sheet name="Bilder" sheetId="10" state="hidden" r:id="rId5"/>
  </sheets>
  <definedNames>
    <definedName name="Argentina">Bilder!$B$2</definedName>
    <definedName name="Australien">Bilder!$B$3</definedName>
    <definedName name="Belgien">Bilder!$B$4</definedName>
    <definedName name="BILDFRI">Bilder!$B$34</definedName>
    <definedName name="Brasilien">Bilder!$B$5</definedName>
    <definedName name="Brons">INDIRECT(Beräkningar!$AA$54)</definedName>
    <definedName name="CostaRica">Bilder!$B$6</definedName>
    <definedName name="Danmark">Bilder!$B$7</definedName>
    <definedName name="Ecuador">Bilder!$B$8</definedName>
    <definedName name="Egypten">Bilder!$B$8</definedName>
    <definedName name="England">Bilder!$B$9</definedName>
    <definedName name="Final1a">INDIRECT(Beräkningar!$X$52)</definedName>
    <definedName name="Final1b">INDIRECT(Beräkningar!$Y$52)</definedName>
    <definedName name="Final2a">INDIRECT(Beräkningar!$X$70)</definedName>
    <definedName name="Final2b">INDIRECT(Beräkningar!$Y$70)</definedName>
    <definedName name="Fjärdeplats">INDIRECT(Beräkningar!$AA$55)</definedName>
    <definedName name="Frankrike">Bilder!$B$10</definedName>
    <definedName name="Ghana">Bilder!$B$11</definedName>
    <definedName name="Guld">INDIRECT(Beräkningar!$AA$52)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42359.6560185185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an">Bilder!$B$12</definedName>
    <definedName name="Japan">Bilder!$B$13</definedName>
    <definedName name="Kamerun">Bilder!$B$14</definedName>
    <definedName name="Kanada">Bilder!$B$15</definedName>
    <definedName name="Kroatien">Bilder!$B$16</definedName>
    <definedName name="Kvartsfinal1a">INDIRECT(Beräkningar!$R$52)</definedName>
    <definedName name="Kvartsfinal1b">INDIRECT(Beräkningar!$S$52)</definedName>
    <definedName name="Kvartsfinal2a">INDIRECT(Beräkningar!$R$55)</definedName>
    <definedName name="Kvartsfinal2b">INDIRECT(Beräkningar!$S$55)</definedName>
    <definedName name="Kvartsfinal3a">INDIRECT(Beräkningar!$R$70)</definedName>
    <definedName name="Kvartsfinal3b">INDIRECT(Beräkningar!$S$70)</definedName>
    <definedName name="Kvartsfinal4a">INDIRECT(Beräkningar!$R$73)</definedName>
    <definedName name="Kvartsfinal4b">INDIRECT(Beräkningar!$S$73)</definedName>
    <definedName name="Marocko">Bilder!$B$17</definedName>
    <definedName name="Mexiko">Bilder!$B$18</definedName>
    <definedName name="Nederländerna">Bilder!$B$19</definedName>
    <definedName name="Nigeria">Bilder!$B$19</definedName>
    <definedName name="Polen">Bilder!$B$20</definedName>
    <definedName name="Portugal">Bilder!$B$21</definedName>
    <definedName name="Qatar">Bilder!$B$22</definedName>
    <definedName name="Ryssland">Bilder!$B$22</definedName>
    <definedName name="Saudiarabien">Bilder!$B$23</definedName>
    <definedName name="Schweiz">Bilder!$B$24</definedName>
    <definedName name="Semifinal1a">INDIRECT(Beräkningar!$U$52)</definedName>
    <definedName name="Semifinal1b">INDIRECT(Beräkningar!$V$52)</definedName>
    <definedName name="Semifinal2a">INDIRECT(Beräkningar!$U$70)</definedName>
    <definedName name="Semifinal2b">INDIRECT(Beräkningar!$V$70)</definedName>
    <definedName name="Senegal">Bilder!$B$25</definedName>
    <definedName name="Serbien">Bilder!$B$26</definedName>
    <definedName name="Silver">INDIRECT(Beräkningar!$AA$53)</definedName>
    <definedName name="Spanien">Bilder!$B$27</definedName>
    <definedName name="Sydkorea">Bilder!$B$28</definedName>
    <definedName name="Tunisien">Bilder!$B$29</definedName>
    <definedName name="Tyskland">Bilder!$B$30</definedName>
    <definedName name="Uruguay">Bilder!$B$31</definedName>
    <definedName name="USA">Bilder!$B$32</definedName>
    <definedName name="Wales">Bilder!$B$33</definedName>
    <definedName name="Åttondel1a">INDIRECT(Beräkningar!$N$52)</definedName>
    <definedName name="Åttondel1b">INDIRECT(Beräkningar!$O$52)</definedName>
    <definedName name="Åttondel2a">INDIRECT(Beräkningar!$N$55)</definedName>
    <definedName name="Åttondel2b">INDIRECT(Beräkningar!$O$55)</definedName>
    <definedName name="Åttondel3a">INDIRECT(Beräkningar!$N$58)</definedName>
    <definedName name="Åttondel3b">INDIRECT(Beräkningar!$O$58)</definedName>
    <definedName name="Åttondel4a">INDIRECT(Beräkningar!$N$61)</definedName>
    <definedName name="Åttondel4b">INDIRECT(Beräkningar!$O$61)</definedName>
    <definedName name="Åttondel5a">INDIRECT(Beräkningar!$N$70)</definedName>
    <definedName name="Åttondel5b">INDIRECT(Beräkningar!$O$70)</definedName>
    <definedName name="Åttondel6a">INDIRECT(Beräkningar!$N$73)</definedName>
    <definedName name="Åttondel6b">INDIRECT(Beräkningar!$O$73)</definedName>
    <definedName name="Åttondel7a">INDIRECT(Beräkningar!$N$76)</definedName>
    <definedName name="Åttondel7b">INDIRECT(Beräkningar!$O$76)</definedName>
    <definedName name="Åttondel8a">INDIRECT(Beräkningar!$N$79)</definedName>
    <definedName name="Åttondel8b">INDIRECT(Beräkningar!$O$79)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54" i="6" l="1"/>
  <c r="AA52" i="6"/>
  <c r="V70" i="6"/>
  <c r="U70" i="6"/>
  <c r="S73" i="6"/>
  <c r="R73" i="6"/>
  <c r="S70" i="6"/>
  <c r="R70" i="6"/>
  <c r="Y52" i="6"/>
  <c r="X52" i="6"/>
  <c r="V52" i="6"/>
  <c r="U52" i="6"/>
  <c r="S55" i="6"/>
  <c r="R55" i="6"/>
  <c r="S52" i="6"/>
  <c r="R52" i="6"/>
  <c r="E28" i="6"/>
  <c r="F28" i="6"/>
  <c r="E29" i="6"/>
  <c r="F29" i="6"/>
  <c r="E30" i="6"/>
  <c r="F30" i="6"/>
  <c r="E31" i="6"/>
  <c r="F31" i="6"/>
  <c r="E32" i="6"/>
  <c r="F32" i="6"/>
  <c r="E33" i="6"/>
  <c r="F33" i="6"/>
  <c r="AA53" i="6" l="1"/>
  <c r="M6" i="5"/>
  <c r="C2" i="9" l="1"/>
  <c r="O86" i="9" l="1"/>
  <c r="K86" i="9"/>
  <c r="G91" i="9"/>
  <c r="G87" i="9"/>
  <c r="G88" i="9"/>
  <c r="G86" i="9"/>
  <c r="P107" i="6" l="1"/>
  <c r="R107" i="6"/>
  <c r="P108" i="6"/>
  <c r="R108" i="6"/>
  <c r="P109" i="6"/>
  <c r="R109" i="6"/>
  <c r="R106" i="6"/>
  <c r="P106" i="6"/>
  <c r="N107" i="6"/>
  <c r="N108" i="6"/>
  <c r="N109" i="6"/>
  <c r="N110" i="6"/>
  <c r="N111" i="6"/>
  <c r="N112" i="6"/>
  <c r="N113" i="6"/>
  <c r="N106" i="6"/>
  <c r="M221" i="5" l="1"/>
  <c r="M214" i="5"/>
  <c r="M207" i="5"/>
  <c r="M197" i="5"/>
  <c r="M198" i="5"/>
  <c r="M196" i="5"/>
  <c r="M65" i="5"/>
  <c r="N65" i="5"/>
  <c r="M66" i="5"/>
  <c r="N66" i="5"/>
  <c r="M67" i="5"/>
  <c r="N67" i="5"/>
  <c r="M68" i="5"/>
  <c r="N68" i="5"/>
  <c r="M69" i="5"/>
  <c r="N69" i="5"/>
  <c r="M64" i="5"/>
  <c r="N64" i="5"/>
  <c r="M57" i="5"/>
  <c r="N57" i="5"/>
  <c r="M58" i="5"/>
  <c r="N58" i="5"/>
  <c r="M59" i="5"/>
  <c r="N59" i="5"/>
  <c r="M60" i="5"/>
  <c r="N60" i="5"/>
  <c r="M61" i="5"/>
  <c r="N61" i="5"/>
  <c r="M56" i="5"/>
  <c r="N56" i="5"/>
  <c r="M49" i="5"/>
  <c r="N49" i="5"/>
  <c r="M50" i="5"/>
  <c r="N50" i="5"/>
  <c r="M51" i="5"/>
  <c r="N51" i="5"/>
  <c r="M52" i="5"/>
  <c r="N52" i="5"/>
  <c r="M53" i="5"/>
  <c r="N53" i="5"/>
  <c r="M48" i="5"/>
  <c r="N48" i="5"/>
  <c r="M41" i="5"/>
  <c r="N41" i="5"/>
  <c r="M42" i="5"/>
  <c r="N42" i="5"/>
  <c r="M43" i="5"/>
  <c r="N43" i="5"/>
  <c r="M44" i="5"/>
  <c r="N44" i="5"/>
  <c r="M45" i="5"/>
  <c r="N45" i="5"/>
  <c r="M40" i="5"/>
  <c r="N40" i="5"/>
  <c r="M33" i="5"/>
  <c r="N33" i="5"/>
  <c r="M34" i="5"/>
  <c r="N34" i="5"/>
  <c r="M35" i="5"/>
  <c r="N35" i="5"/>
  <c r="M36" i="5"/>
  <c r="N36" i="5"/>
  <c r="M37" i="5"/>
  <c r="N37" i="5"/>
  <c r="M32" i="5"/>
  <c r="N32" i="5"/>
  <c r="M25" i="5"/>
  <c r="N25" i="5"/>
  <c r="M26" i="5"/>
  <c r="N26" i="5"/>
  <c r="M27" i="5"/>
  <c r="N27" i="5"/>
  <c r="M28" i="5"/>
  <c r="N28" i="5"/>
  <c r="M29" i="5"/>
  <c r="N29" i="5"/>
  <c r="M24" i="5"/>
  <c r="N24" i="5"/>
  <c r="M17" i="5"/>
  <c r="N17" i="5"/>
  <c r="M18" i="5"/>
  <c r="N18" i="5"/>
  <c r="M19" i="5"/>
  <c r="N19" i="5"/>
  <c r="M20" i="5"/>
  <c r="N20" i="5"/>
  <c r="M21" i="5"/>
  <c r="N21" i="5"/>
  <c r="M16" i="5"/>
  <c r="N16" i="5"/>
  <c r="M9" i="5"/>
  <c r="N9" i="5"/>
  <c r="M10" i="5"/>
  <c r="N10" i="5"/>
  <c r="M11" i="5"/>
  <c r="N11" i="5"/>
  <c r="M12" i="5"/>
  <c r="N12" i="5"/>
  <c r="M13" i="5"/>
  <c r="N13" i="5"/>
  <c r="M8" i="5"/>
  <c r="N8" i="5"/>
  <c r="E197" i="5" l="1"/>
  <c r="E196" i="5"/>
  <c r="H25" i="5"/>
  <c r="H29" i="5"/>
  <c r="H27" i="5"/>
  <c r="H24" i="5"/>
  <c r="H8" i="5"/>
  <c r="H12" i="5"/>
  <c r="H18" i="5"/>
  <c r="H26" i="5"/>
  <c r="H37" i="5"/>
  <c r="H33" i="5"/>
  <c r="H45" i="5"/>
  <c r="H43" i="5"/>
  <c r="H41" i="5"/>
  <c r="H53" i="5"/>
  <c r="H49" i="5"/>
  <c r="H61" i="5"/>
  <c r="H59" i="5"/>
  <c r="H57" i="5"/>
  <c r="H69" i="5"/>
  <c r="H65" i="5"/>
  <c r="H11" i="5"/>
  <c r="H9" i="5"/>
  <c r="H21" i="5"/>
  <c r="H17" i="5"/>
  <c r="H28" i="5"/>
  <c r="H36" i="5"/>
  <c r="H40" i="5"/>
  <c r="H50" i="5"/>
  <c r="H56" i="5"/>
  <c r="H68" i="5"/>
  <c r="E198" i="5"/>
  <c r="E221" i="5"/>
  <c r="P87" i="9" s="1"/>
  <c r="G14" i="9" s="1"/>
  <c r="E214" i="5"/>
  <c r="L87" i="9" s="1"/>
  <c r="G13" i="9" s="1"/>
  <c r="E207" i="5"/>
  <c r="H92" i="9" s="1"/>
  <c r="G12" i="9" s="1"/>
  <c r="H66" i="5"/>
  <c r="H64" i="5"/>
  <c r="H67" i="5"/>
  <c r="H60" i="5"/>
  <c r="H58" i="5"/>
  <c r="H48" i="5"/>
  <c r="H51" i="5"/>
  <c r="H52" i="5"/>
  <c r="H44" i="5"/>
  <c r="H42" i="5"/>
  <c r="H32" i="5"/>
  <c r="H35" i="5"/>
  <c r="H34" i="5"/>
  <c r="H16" i="5"/>
  <c r="H19" i="5"/>
  <c r="H20" i="5"/>
  <c r="H13" i="5"/>
  <c r="H10" i="5"/>
  <c r="G235" i="5" l="1"/>
  <c r="J14" i="9" s="1"/>
  <c r="G234" i="5"/>
  <c r="J13" i="9" s="1"/>
  <c r="G233" i="5"/>
  <c r="J12" i="9" s="1"/>
  <c r="E200" i="5"/>
  <c r="G232" i="5" l="1"/>
  <c r="H89" i="9"/>
  <c r="G11" i="9" s="1"/>
  <c r="R85" i="6"/>
  <c r="M184" i="5" s="1"/>
  <c r="R87" i="6"/>
  <c r="M186" i="5" s="1"/>
  <c r="J11" i="9" l="1"/>
  <c r="H71" i="5"/>
  <c r="J8" i="5"/>
  <c r="D28" i="9"/>
  <c r="J24" i="5"/>
  <c r="M28" i="9" s="1"/>
  <c r="L28" i="9"/>
  <c r="J40" i="5"/>
  <c r="E43" i="9" s="1"/>
  <c r="D43" i="9"/>
  <c r="J56" i="5"/>
  <c r="M43" i="9" s="1"/>
  <c r="L43" i="9"/>
  <c r="H28" i="9"/>
  <c r="J16" i="5"/>
  <c r="I28" i="9" s="1"/>
  <c r="P28" i="9"/>
  <c r="J32" i="5"/>
  <c r="Q28" i="9" s="1"/>
  <c r="H43" i="9"/>
  <c r="J48" i="5"/>
  <c r="I43" i="9" s="1"/>
  <c r="P43" i="9"/>
  <c r="J64" i="5"/>
  <c r="Q43" i="9" s="1"/>
  <c r="C121" i="5"/>
  <c r="L120" i="6" s="1"/>
  <c r="D146" i="5" s="1"/>
  <c r="C122" i="5"/>
  <c r="C123" i="5"/>
  <c r="L121" i="6" s="1"/>
  <c r="D147" i="5" s="1"/>
  <c r="C120" i="5"/>
  <c r="C115" i="5"/>
  <c r="L118" i="6" s="1"/>
  <c r="D144" i="5" s="1"/>
  <c r="C116" i="5"/>
  <c r="C117" i="5"/>
  <c r="L119" i="6" s="1"/>
  <c r="D145" i="5" s="1"/>
  <c r="C114" i="5"/>
  <c r="C109" i="5"/>
  <c r="L116" i="6" s="1"/>
  <c r="D142" i="5" s="1"/>
  <c r="C110" i="5"/>
  <c r="C111" i="5"/>
  <c r="L117" i="6" s="1"/>
  <c r="D143" i="5" s="1"/>
  <c r="C108" i="5"/>
  <c r="C103" i="5"/>
  <c r="L114" i="6" s="1"/>
  <c r="D140" i="5" s="1"/>
  <c r="C104" i="5"/>
  <c r="C105" i="5"/>
  <c r="L115" i="6" s="1"/>
  <c r="D141" i="5" s="1"/>
  <c r="C102" i="5"/>
  <c r="C97" i="5"/>
  <c r="L112" i="6" s="1"/>
  <c r="D138" i="5" s="1"/>
  <c r="C98" i="5"/>
  <c r="C99" i="5"/>
  <c r="L113" i="6" s="1"/>
  <c r="D139" i="5" s="1"/>
  <c r="C96" i="5"/>
  <c r="C91" i="5"/>
  <c r="L110" i="6" s="1"/>
  <c r="D136" i="5" s="1"/>
  <c r="C92" i="5"/>
  <c r="C93" i="5"/>
  <c r="L111" i="6" s="1"/>
  <c r="D137" i="5" s="1"/>
  <c r="C90" i="5"/>
  <c r="C85" i="5"/>
  <c r="L109" i="6" s="1"/>
  <c r="D135" i="5" s="1"/>
  <c r="C86" i="5"/>
  <c r="C87" i="5"/>
  <c r="C84" i="5"/>
  <c r="L108" i="6" s="1"/>
  <c r="D134" i="5" s="1"/>
  <c r="C79" i="5"/>
  <c r="L106" i="6" s="1"/>
  <c r="D132" i="5" s="1"/>
  <c r="C80" i="5"/>
  <c r="C81" i="5"/>
  <c r="L107" i="6" s="1"/>
  <c r="D133" i="5" s="1"/>
  <c r="C78" i="5"/>
  <c r="D69" i="5"/>
  <c r="D68" i="5"/>
  <c r="D67" i="5"/>
  <c r="D66" i="5"/>
  <c r="D65" i="5"/>
  <c r="D64" i="5"/>
  <c r="D61" i="5"/>
  <c r="D60" i="5"/>
  <c r="D59" i="5"/>
  <c r="D58" i="5"/>
  <c r="D57" i="5"/>
  <c r="D56" i="5"/>
  <c r="E28" i="9" l="1"/>
  <c r="P88" i="6"/>
  <c r="M175" i="5" s="1"/>
  <c r="P87" i="6"/>
  <c r="M174" i="5" s="1"/>
  <c r="N90" i="6"/>
  <c r="M161" i="5" s="1"/>
  <c r="N89" i="6"/>
  <c r="M160" i="5" s="1"/>
  <c r="P86" i="6"/>
  <c r="P85" i="6"/>
  <c r="N88" i="6"/>
  <c r="M159" i="5" s="1"/>
  <c r="N87" i="6"/>
  <c r="N86" i="6"/>
  <c r="M157" i="5" s="1"/>
  <c r="N85" i="6"/>
  <c r="J103" i="4"/>
  <c r="AM42" i="6" s="1"/>
  <c r="AN42" i="6" s="1"/>
  <c r="J102" i="4"/>
  <c r="AM41" i="6" s="1"/>
  <c r="AN41" i="6" s="1"/>
  <c r="J101" i="4"/>
  <c r="AM40" i="6" s="1"/>
  <c r="AN40" i="6" s="1"/>
  <c r="J100" i="4"/>
  <c r="AM39" i="6" s="1"/>
  <c r="AN39" i="6" s="1"/>
  <c r="J92" i="4"/>
  <c r="AM37" i="6" s="1"/>
  <c r="AN37" i="6" s="1"/>
  <c r="J91" i="4"/>
  <c r="AM36" i="6" s="1"/>
  <c r="AN36" i="6" s="1"/>
  <c r="J90" i="4"/>
  <c r="AM35" i="6" s="1"/>
  <c r="AN35" i="6" s="1"/>
  <c r="J89" i="4"/>
  <c r="AM34" i="6" s="1"/>
  <c r="AN34" i="6" s="1"/>
  <c r="J81" i="4"/>
  <c r="AM32" i="6" s="1"/>
  <c r="AN32" i="6" s="1"/>
  <c r="J80" i="4"/>
  <c r="AM31" i="6" s="1"/>
  <c r="AN31" i="6" s="1"/>
  <c r="J79" i="4"/>
  <c r="AM30" i="6" s="1"/>
  <c r="AN30" i="6" s="1"/>
  <c r="J78" i="4"/>
  <c r="AM29" i="6" s="1"/>
  <c r="AN29" i="6" s="1"/>
  <c r="J70" i="4"/>
  <c r="AM27" i="6" s="1"/>
  <c r="AN27" i="6" s="1"/>
  <c r="J69" i="4"/>
  <c r="AM26" i="6" s="1"/>
  <c r="AN26" i="6" s="1"/>
  <c r="J68" i="4"/>
  <c r="AM25" i="6" s="1"/>
  <c r="AN25" i="6" s="1"/>
  <c r="J67" i="4"/>
  <c r="AM24" i="6" s="1"/>
  <c r="AN24" i="6" s="1"/>
  <c r="J59" i="4"/>
  <c r="AM22" i="6" s="1"/>
  <c r="AN22" i="6" s="1"/>
  <c r="J58" i="4"/>
  <c r="AM21" i="6" s="1"/>
  <c r="AN21" i="6" s="1"/>
  <c r="J57" i="4"/>
  <c r="AM20" i="6" s="1"/>
  <c r="AN20" i="6" s="1"/>
  <c r="J56" i="4"/>
  <c r="AM19" i="6" s="1"/>
  <c r="AN19" i="6" s="1"/>
  <c r="J48" i="4"/>
  <c r="AM17" i="6" s="1"/>
  <c r="AN17" i="6" s="1"/>
  <c r="J47" i="4"/>
  <c r="AM16" i="6" s="1"/>
  <c r="AN16" i="6" s="1"/>
  <c r="J46" i="4"/>
  <c r="AM15" i="6" s="1"/>
  <c r="AN15" i="6" s="1"/>
  <c r="J45" i="4"/>
  <c r="J37" i="4"/>
  <c r="AM12" i="6" s="1"/>
  <c r="AN12" i="6" s="1"/>
  <c r="J36" i="4"/>
  <c r="AM11" i="6" s="1"/>
  <c r="AN11" i="6" s="1"/>
  <c r="J35" i="4"/>
  <c r="AM10" i="6" s="1"/>
  <c r="AN10" i="6" s="1"/>
  <c r="J34" i="4"/>
  <c r="AM9" i="6" s="1"/>
  <c r="AN9" i="6" s="1"/>
  <c r="J26" i="4"/>
  <c r="AM7" i="6" s="1"/>
  <c r="AN7" i="6" s="1"/>
  <c r="J25" i="4"/>
  <c r="AM6" i="6" s="1"/>
  <c r="AN6" i="6" s="1"/>
  <c r="J24" i="4"/>
  <c r="AM5" i="6" s="1"/>
  <c r="AN5" i="6" s="1"/>
  <c r="J23" i="4"/>
  <c r="AM4" i="6" s="1"/>
  <c r="AN4" i="6" s="1"/>
  <c r="R86" i="6" l="1"/>
  <c r="M185" i="5" s="1"/>
  <c r="E184" i="5" s="1"/>
  <c r="M172" i="5"/>
  <c r="M156" i="5"/>
  <c r="M173" i="5"/>
  <c r="S85" i="6"/>
  <c r="S87" i="6"/>
  <c r="M158" i="5"/>
  <c r="N91" i="6"/>
  <c r="Q91" i="6" s="1"/>
  <c r="N92" i="6"/>
  <c r="M163" i="5" s="1"/>
  <c r="X70" i="6"/>
  <c r="Y70" i="6"/>
  <c r="U33" i="4" s="1"/>
  <c r="AL16" i="6"/>
  <c r="AL35" i="6"/>
  <c r="AM14" i="6"/>
  <c r="AN14" i="6" s="1"/>
  <c r="AL22" i="6"/>
  <c r="AL25" i="6"/>
  <c r="AL42" i="6"/>
  <c r="AL24" i="6"/>
  <c r="AL11" i="6"/>
  <c r="AL17" i="6"/>
  <c r="AL19" i="6"/>
  <c r="AL26" i="6"/>
  <c r="AL31" i="6"/>
  <c r="AL39" i="6"/>
  <c r="AL10" i="6"/>
  <c r="AL30" i="6"/>
  <c r="AL37" i="6"/>
  <c r="AL41" i="6"/>
  <c r="AL40" i="6"/>
  <c r="AL36" i="6"/>
  <c r="AL34" i="6"/>
  <c r="AL29" i="6"/>
  <c r="AL32" i="6"/>
  <c r="AL27" i="6"/>
  <c r="AL21" i="6"/>
  <c r="AL20" i="6"/>
  <c r="AL15" i="6"/>
  <c r="AL14" i="6"/>
  <c r="AL9" i="6"/>
  <c r="AL12" i="6"/>
  <c r="W40" i="6"/>
  <c r="W41" i="6" s="1"/>
  <c r="W42" i="6" s="1"/>
  <c r="W35" i="6"/>
  <c r="W36" i="6" s="1"/>
  <c r="W37" i="6" s="1"/>
  <c r="W30" i="6"/>
  <c r="W31" i="6" s="1"/>
  <c r="W32" i="6" s="1"/>
  <c r="W25" i="6"/>
  <c r="W26" i="6" s="1"/>
  <c r="W27" i="6" s="1"/>
  <c r="W20" i="6"/>
  <c r="W21" i="6" s="1"/>
  <c r="W22" i="6" s="1"/>
  <c r="W15" i="6"/>
  <c r="W16" i="6" s="1"/>
  <c r="W17" i="6" s="1"/>
  <c r="W10" i="6"/>
  <c r="W11" i="6" s="1"/>
  <c r="W12" i="6" s="1"/>
  <c r="AU66" i="6"/>
  <c r="AT66" i="6"/>
  <c r="AP66" i="6"/>
  <c r="AU65" i="6"/>
  <c r="AT65" i="6"/>
  <c r="AP65" i="6"/>
  <c r="AU64" i="6"/>
  <c r="AT64" i="6"/>
  <c r="AP64" i="6"/>
  <c r="AU63" i="6"/>
  <c r="AT63" i="6"/>
  <c r="AP63" i="6"/>
  <c r="AU62" i="6"/>
  <c r="AT62" i="6"/>
  <c r="AP62" i="6"/>
  <c r="AU61" i="6"/>
  <c r="AT61" i="6"/>
  <c r="AP61" i="6"/>
  <c r="AU58" i="6"/>
  <c r="AT58" i="6"/>
  <c r="AP58" i="6"/>
  <c r="AU57" i="6"/>
  <c r="AT57" i="6"/>
  <c r="AP57" i="6"/>
  <c r="AU56" i="6"/>
  <c r="AT56" i="6"/>
  <c r="AP56" i="6"/>
  <c r="AU55" i="6"/>
  <c r="AT55" i="6"/>
  <c r="AP55" i="6"/>
  <c r="AU54" i="6"/>
  <c r="AT54" i="6"/>
  <c r="AP54" i="6"/>
  <c r="AU53" i="6"/>
  <c r="AT53" i="6"/>
  <c r="AP53" i="6"/>
  <c r="AU50" i="6"/>
  <c r="AT50" i="6"/>
  <c r="AP50" i="6"/>
  <c r="AU49" i="6"/>
  <c r="AT49" i="6"/>
  <c r="AP49" i="6"/>
  <c r="AU48" i="6"/>
  <c r="AT48" i="6"/>
  <c r="AP48" i="6"/>
  <c r="AU47" i="6"/>
  <c r="AT47" i="6"/>
  <c r="AP47" i="6"/>
  <c r="AU46" i="6"/>
  <c r="AT46" i="6"/>
  <c r="AP46" i="6"/>
  <c r="AU45" i="6"/>
  <c r="AT45" i="6"/>
  <c r="AP45" i="6"/>
  <c r="AU42" i="6"/>
  <c r="AT42" i="6"/>
  <c r="AP42" i="6"/>
  <c r="AU41" i="6"/>
  <c r="AT41" i="6"/>
  <c r="AP41" i="6"/>
  <c r="AU40" i="6"/>
  <c r="AT40" i="6"/>
  <c r="AP40" i="6"/>
  <c r="AU39" i="6"/>
  <c r="AT39" i="6"/>
  <c r="AP39" i="6"/>
  <c r="AU38" i="6"/>
  <c r="AT38" i="6"/>
  <c r="AP38" i="6"/>
  <c r="AU37" i="6"/>
  <c r="AT37" i="6"/>
  <c r="AP37" i="6"/>
  <c r="AU34" i="6"/>
  <c r="AT34" i="6"/>
  <c r="AP34" i="6"/>
  <c r="AU33" i="6"/>
  <c r="AT33" i="6"/>
  <c r="AP33" i="6"/>
  <c r="AU32" i="6"/>
  <c r="AT32" i="6"/>
  <c r="AP32" i="6"/>
  <c r="AU31" i="6"/>
  <c r="AT31" i="6"/>
  <c r="AP31" i="6"/>
  <c r="AU30" i="6"/>
  <c r="AT30" i="6"/>
  <c r="AP30" i="6"/>
  <c r="AU29" i="6"/>
  <c r="AT29" i="6"/>
  <c r="AP29" i="6"/>
  <c r="AU26" i="6"/>
  <c r="AT26" i="6"/>
  <c r="AP26" i="6"/>
  <c r="AU25" i="6"/>
  <c r="AT25" i="6"/>
  <c r="AP25" i="6"/>
  <c r="AU24" i="6"/>
  <c r="AT24" i="6"/>
  <c r="AP24" i="6"/>
  <c r="AU23" i="6"/>
  <c r="AT23" i="6"/>
  <c r="AP23" i="6"/>
  <c r="AU22" i="6"/>
  <c r="AT22" i="6"/>
  <c r="AP22" i="6"/>
  <c r="AU21" i="6"/>
  <c r="AT21" i="6"/>
  <c r="AP21" i="6"/>
  <c r="AT14" i="6"/>
  <c r="AU14" i="6"/>
  <c r="AT15" i="6"/>
  <c r="AU15" i="6"/>
  <c r="AT16" i="6"/>
  <c r="AU16" i="6"/>
  <c r="AT17" i="6"/>
  <c r="AU17" i="6"/>
  <c r="AT18" i="6"/>
  <c r="AU18" i="6"/>
  <c r="AU13" i="6"/>
  <c r="AT13" i="6"/>
  <c r="AP14" i="6"/>
  <c r="AP15" i="6"/>
  <c r="AP16" i="6"/>
  <c r="AP17" i="6"/>
  <c r="AP18" i="6"/>
  <c r="AP13" i="6"/>
  <c r="Q89" i="6" l="1"/>
  <c r="Q90" i="6"/>
  <c r="Q92" i="6"/>
  <c r="E185" i="5"/>
  <c r="S86" i="6"/>
  <c r="S89" i="6"/>
  <c r="S90" i="6"/>
  <c r="S91" i="6"/>
  <c r="E174" i="5"/>
  <c r="E172" i="5"/>
  <c r="E173" i="5"/>
  <c r="AW18" i="6"/>
  <c r="AV18" i="6"/>
  <c r="AW16" i="6"/>
  <c r="AV16" i="6"/>
  <c r="AW14" i="6"/>
  <c r="AV14" i="6"/>
  <c r="AW23" i="6"/>
  <c r="AV23" i="6"/>
  <c r="AW29" i="6"/>
  <c r="AV29" i="6"/>
  <c r="AW33" i="6"/>
  <c r="AV33" i="6"/>
  <c r="AW39" i="6"/>
  <c r="AV39" i="6"/>
  <c r="AW45" i="6"/>
  <c r="AV45" i="6"/>
  <c r="AW49" i="6"/>
  <c r="AV49" i="6"/>
  <c r="AW55" i="6"/>
  <c r="AV55" i="6"/>
  <c r="AW61" i="6"/>
  <c r="AV61" i="6"/>
  <c r="AW65" i="6"/>
  <c r="AV65" i="6"/>
  <c r="AW13" i="6"/>
  <c r="AV13" i="6"/>
  <c r="AW22" i="6"/>
  <c r="AV22" i="6"/>
  <c r="AW26" i="6"/>
  <c r="AV26" i="6"/>
  <c r="AW32" i="6"/>
  <c r="AV32" i="6"/>
  <c r="AW38" i="6"/>
  <c r="AV38" i="6"/>
  <c r="AW42" i="6"/>
  <c r="AV42" i="6"/>
  <c r="AW48" i="6"/>
  <c r="AV48" i="6"/>
  <c r="AW54" i="6"/>
  <c r="AV54" i="6"/>
  <c r="AW58" i="6"/>
  <c r="AV58" i="6"/>
  <c r="AW64" i="6"/>
  <c r="AV64" i="6"/>
  <c r="AW17" i="6"/>
  <c r="AV17" i="6"/>
  <c r="AW15" i="6"/>
  <c r="AV15" i="6"/>
  <c r="AW21" i="6"/>
  <c r="AV21" i="6"/>
  <c r="AW25" i="6"/>
  <c r="AV25" i="6"/>
  <c r="AW31" i="6"/>
  <c r="AV31" i="6"/>
  <c r="AW37" i="6"/>
  <c r="AV37" i="6"/>
  <c r="AW41" i="6"/>
  <c r="AV41" i="6"/>
  <c r="AW47" i="6"/>
  <c r="AV47" i="6"/>
  <c r="AW53" i="6"/>
  <c r="AV53" i="6"/>
  <c r="AW57" i="6"/>
  <c r="AV57" i="6"/>
  <c r="AW63" i="6"/>
  <c r="AV63" i="6"/>
  <c r="AW24" i="6"/>
  <c r="AV24" i="6"/>
  <c r="AW30" i="6"/>
  <c r="AV30" i="6"/>
  <c r="AW34" i="6"/>
  <c r="AV34" i="6"/>
  <c r="AW40" i="6"/>
  <c r="AV40" i="6"/>
  <c r="AW46" i="6"/>
  <c r="AV46" i="6"/>
  <c r="AW50" i="6"/>
  <c r="AV50" i="6"/>
  <c r="AW56" i="6"/>
  <c r="AV56" i="6"/>
  <c r="AW62" i="6"/>
  <c r="AV62" i="6"/>
  <c r="AW66" i="6"/>
  <c r="AV66" i="6"/>
  <c r="E175" i="5"/>
  <c r="M162" i="5"/>
  <c r="S33" i="4"/>
  <c r="AA55" i="6"/>
  <c r="R88" i="6" s="1"/>
  <c r="J71" i="4"/>
  <c r="J104" i="4"/>
  <c r="J49" i="4"/>
  <c r="J60" i="4"/>
  <c r="J93" i="4"/>
  <c r="J82" i="4"/>
  <c r="J38" i="4"/>
  <c r="AL7" i="6"/>
  <c r="AL6" i="6"/>
  <c r="AL5" i="6"/>
  <c r="AL4" i="6"/>
  <c r="W5" i="6"/>
  <c r="W6" i="6" s="1"/>
  <c r="W7" i="6" s="1"/>
  <c r="E177" i="5" l="1"/>
  <c r="D88" i="9"/>
  <c r="J172" i="5"/>
  <c r="J177" i="5" s="1"/>
  <c r="E156" i="5"/>
  <c r="E163" i="5"/>
  <c r="M187" i="5"/>
  <c r="E186" i="5" s="1"/>
  <c r="S88" i="6"/>
  <c r="S92" i="6"/>
  <c r="J27" i="4"/>
  <c r="E158" i="5"/>
  <c r="E162" i="5"/>
  <c r="E157" i="5"/>
  <c r="E161" i="5"/>
  <c r="E159" i="5"/>
  <c r="E160" i="5"/>
  <c r="AP6" i="6"/>
  <c r="AP7" i="6"/>
  <c r="AP8" i="6"/>
  <c r="AP9" i="6"/>
  <c r="AP10" i="6"/>
  <c r="AP5" i="6"/>
  <c r="AT5" i="6"/>
  <c r="AU5" i="6"/>
  <c r="AT6" i="6"/>
  <c r="AU6" i="6"/>
  <c r="AT7" i="6"/>
  <c r="AU7" i="6"/>
  <c r="AT8" i="6"/>
  <c r="AU8" i="6"/>
  <c r="AT9" i="6"/>
  <c r="AU9" i="6"/>
  <c r="AT10" i="6"/>
  <c r="AU10" i="6"/>
  <c r="E187" i="5" l="1"/>
  <c r="E189" i="5" s="1"/>
  <c r="E88" i="9"/>
  <c r="G9" i="9" s="1"/>
  <c r="G230" i="5"/>
  <c r="AV10" i="6"/>
  <c r="AW10" i="6"/>
  <c r="AV8" i="6"/>
  <c r="AW8" i="6"/>
  <c r="AV6" i="6"/>
  <c r="AW6" i="6"/>
  <c r="AV9" i="6"/>
  <c r="AW9" i="6"/>
  <c r="AV7" i="6"/>
  <c r="AW7" i="6"/>
  <c r="AW5" i="6"/>
  <c r="AV5" i="6"/>
  <c r="E165" i="5"/>
  <c r="D87" i="9"/>
  <c r="J156" i="5"/>
  <c r="J165" i="5" s="1"/>
  <c r="F105" i="4"/>
  <c r="F104" i="4"/>
  <c r="L68" i="5" s="1"/>
  <c r="E68" i="5" s="1"/>
  <c r="F103" i="4"/>
  <c r="L67" i="5" s="1"/>
  <c r="E67" i="5" s="1"/>
  <c r="F102" i="4"/>
  <c r="L66" i="5" s="1"/>
  <c r="E66" i="5" s="1"/>
  <c r="F101" i="4"/>
  <c r="L65" i="5" s="1"/>
  <c r="E65" i="5" s="1"/>
  <c r="F100" i="4"/>
  <c r="L64" i="5" s="1"/>
  <c r="E64" i="5" s="1"/>
  <c r="F94" i="4"/>
  <c r="F93" i="4"/>
  <c r="L60" i="5" s="1"/>
  <c r="E60" i="5" s="1"/>
  <c r="F92" i="4"/>
  <c r="L59" i="5" s="1"/>
  <c r="E59" i="5" s="1"/>
  <c r="F91" i="4"/>
  <c r="L58" i="5" s="1"/>
  <c r="E58" i="5" s="1"/>
  <c r="F90" i="4"/>
  <c r="L57" i="5" s="1"/>
  <c r="E57" i="5" s="1"/>
  <c r="F89" i="4"/>
  <c r="L56" i="5" s="1"/>
  <c r="E56" i="5" s="1"/>
  <c r="J184" i="5" l="1"/>
  <c r="J189" i="5" s="1"/>
  <c r="E89" i="9" s="1"/>
  <c r="G10" i="9" s="1"/>
  <c r="D89" i="9"/>
  <c r="L61" i="5"/>
  <c r="E61" i="5" s="1"/>
  <c r="J57" i="5" s="1"/>
  <c r="M44" i="9" s="1"/>
  <c r="L69" i="5"/>
  <c r="E69" i="5" s="1"/>
  <c r="J65" i="5" s="1"/>
  <c r="Q44" i="9" s="1"/>
  <c r="J9" i="9"/>
  <c r="G229" i="5"/>
  <c r="E87" i="9"/>
  <c r="G8" i="9" s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4" i="6"/>
  <c r="E12" i="6"/>
  <c r="G12" i="6" s="1"/>
  <c r="F12" i="6"/>
  <c r="H12" i="6" s="1"/>
  <c r="E13" i="6"/>
  <c r="G13" i="6" s="1"/>
  <c r="F13" i="6"/>
  <c r="H13" i="6" s="1"/>
  <c r="E14" i="6"/>
  <c r="G14" i="6" s="1"/>
  <c r="F14" i="6"/>
  <c r="H14" i="6" s="1"/>
  <c r="E15" i="6"/>
  <c r="G15" i="6" s="1"/>
  <c r="F15" i="6"/>
  <c r="H15" i="6" s="1"/>
  <c r="E16" i="6"/>
  <c r="G16" i="6" s="1"/>
  <c r="F16" i="6"/>
  <c r="H16" i="6" s="1"/>
  <c r="E17" i="6"/>
  <c r="G17" i="6" s="1"/>
  <c r="F17" i="6"/>
  <c r="H17" i="6" s="1"/>
  <c r="E18" i="6"/>
  <c r="G18" i="6" s="1"/>
  <c r="F18" i="6"/>
  <c r="H18" i="6" s="1"/>
  <c r="E19" i="6"/>
  <c r="G19" i="6" s="1"/>
  <c r="F19" i="6"/>
  <c r="H19" i="6" s="1"/>
  <c r="E20" i="6"/>
  <c r="G20" i="6" s="1"/>
  <c r="F20" i="6"/>
  <c r="H20" i="6" s="1"/>
  <c r="E21" i="6"/>
  <c r="G21" i="6" s="1"/>
  <c r="F21" i="6"/>
  <c r="H21" i="6" s="1"/>
  <c r="E22" i="6"/>
  <c r="G22" i="6" s="1"/>
  <c r="F22" i="6"/>
  <c r="H22" i="6" s="1"/>
  <c r="E23" i="6"/>
  <c r="G23" i="6" s="1"/>
  <c r="F23" i="6"/>
  <c r="H23" i="6" s="1"/>
  <c r="E24" i="6"/>
  <c r="G24" i="6" s="1"/>
  <c r="F24" i="6"/>
  <c r="H24" i="6" s="1"/>
  <c r="E25" i="6"/>
  <c r="G25" i="6" s="1"/>
  <c r="F25" i="6"/>
  <c r="H25" i="6" s="1"/>
  <c r="E26" i="6"/>
  <c r="G26" i="6" s="1"/>
  <c r="F26" i="6"/>
  <c r="H26" i="6" s="1"/>
  <c r="E27" i="6"/>
  <c r="G27" i="6" s="1"/>
  <c r="F27" i="6"/>
  <c r="H27" i="6" s="1"/>
  <c r="G28" i="6"/>
  <c r="H28" i="6"/>
  <c r="G29" i="6"/>
  <c r="H29" i="6"/>
  <c r="G30" i="6"/>
  <c r="H30" i="6"/>
  <c r="G31" i="6"/>
  <c r="H31" i="6"/>
  <c r="G32" i="6"/>
  <c r="H32" i="6"/>
  <c r="G33" i="6"/>
  <c r="H33" i="6"/>
  <c r="E34" i="6"/>
  <c r="G34" i="6" s="1"/>
  <c r="F34" i="6"/>
  <c r="H34" i="6" s="1"/>
  <c r="E35" i="6"/>
  <c r="G35" i="6" s="1"/>
  <c r="F35" i="6"/>
  <c r="H35" i="6" s="1"/>
  <c r="E36" i="6"/>
  <c r="G36" i="6" s="1"/>
  <c r="F36" i="6"/>
  <c r="H36" i="6" s="1"/>
  <c r="E37" i="6"/>
  <c r="G37" i="6" s="1"/>
  <c r="F37" i="6"/>
  <c r="H37" i="6" s="1"/>
  <c r="E38" i="6"/>
  <c r="G38" i="6" s="1"/>
  <c r="F38" i="6"/>
  <c r="H38" i="6" s="1"/>
  <c r="E39" i="6"/>
  <c r="G39" i="6" s="1"/>
  <c r="F39" i="6"/>
  <c r="H39" i="6" s="1"/>
  <c r="E40" i="6"/>
  <c r="G40" i="6" s="1"/>
  <c r="F40" i="6"/>
  <c r="H40" i="6" s="1"/>
  <c r="E41" i="6"/>
  <c r="G41" i="6" s="1"/>
  <c r="F41" i="6"/>
  <c r="H41" i="6" s="1"/>
  <c r="E42" i="6"/>
  <c r="G42" i="6" s="1"/>
  <c r="F42" i="6"/>
  <c r="H42" i="6" s="1"/>
  <c r="E43" i="6"/>
  <c r="G43" i="6" s="1"/>
  <c r="F43" i="6"/>
  <c r="H43" i="6" s="1"/>
  <c r="E44" i="6"/>
  <c r="G44" i="6" s="1"/>
  <c r="F44" i="6"/>
  <c r="H44" i="6" s="1"/>
  <c r="E45" i="6"/>
  <c r="G45" i="6" s="1"/>
  <c r="F45" i="6"/>
  <c r="H45" i="6" s="1"/>
  <c r="E46" i="6"/>
  <c r="G46" i="6" s="1"/>
  <c r="F46" i="6"/>
  <c r="H46" i="6" s="1"/>
  <c r="E47" i="6"/>
  <c r="G47" i="6" s="1"/>
  <c r="F47" i="6"/>
  <c r="H47" i="6" s="1"/>
  <c r="E48" i="6"/>
  <c r="G48" i="6" s="1"/>
  <c r="F48" i="6"/>
  <c r="H48" i="6" s="1"/>
  <c r="E49" i="6"/>
  <c r="G49" i="6" s="1"/>
  <c r="F49" i="6"/>
  <c r="H49" i="6" s="1"/>
  <c r="E50" i="6"/>
  <c r="G50" i="6" s="1"/>
  <c r="F50" i="6"/>
  <c r="H50" i="6" s="1"/>
  <c r="E51" i="6"/>
  <c r="G51" i="6" s="1"/>
  <c r="F51" i="6"/>
  <c r="H51" i="6" s="1"/>
  <c r="F11" i="6"/>
  <c r="H11" i="6" s="1"/>
  <c r="E11" i="6"/>
  <c r="G11" i="6" s="1"/>
  <c r="F10" i="6"/>
  <c r="H10" i="6" s="1"/>
  <c r="E10" i="6"/>
  <c r="G10" i="6" s="1"/>
  <c r="F9" i="6"/>
  <c r="H9" i="6" s="1"/>
  <c r="E9" i="6"/>
  <c r="G9" i="6" s="1"/>
  <c r="F8" i="6"/>
  <c r="H8" i="6" s="1"/>
  <c r="E8" i="6"/>
  <c r="G8" i="6" s="1"/>
  <c r="F7" i="6"/>
  <c r="H7" i="6" s="1"/>
  <c r="E7" i="6"/>
  <c r="G7" i="6" s="1"/>
  <c r="F6" i="6"/>
  <c r="H6" i="6" s="1"/>
  <c r="E6" i="6"/>
  <c r="G6" i="6" s="1"/>
  <c r="F5" i="6"/>
  <c r="H5" i="6" s="1"/>
  <c r="E5" i="6"/>
  <c r="G5" i="6" s="1"/>
  <c r="F4" i="6"/>
  <c r="H4" i="6" s="1"/>
  <c r="E4" i="6"/>
  <c r="G4" i="6" s="1"/>
  <c r="G231" i="5" l="1"/>
  <c r="J10" i="9" s="1"/>
  <c r="C23" i="4"/>
  <c r="L44" i="9"/>
  <c r="P44" i="9"/>
  <c r="J8" i="9"/>
  <c r="J48" i="6"/>
  <c r="K48" i="6" s="1"/>
  <c r="J44" i="6"/>
  <c r="K44" i="6" s="1"/>
  <c r="J8" i="6"/>
  <c r="K8" i="6" s="1"/>
  <c r="J51" i="6"/>
  <c r="K51" i="6" s="1"/>
  <c r="J41" i="6"/>
  <c r="K41" i="6" s="1"/>
  <c r="J49" i="6"/>
  <c r="K49" i="6" s="1"/>
  <c r="J33" i="6"/>
  <c r="K33" i="6" s="1"/>
  <c r="J21" i="6"/>
  <c r="K21" i="6" s="1"/>
  <c r="J9" i="6"/>
  <c r="K9" i="6" s="1"/>
  <c r="J5" i="6"/>
  <c r="K5" i="6" s="1"/>
  <c r="J13" i="6"/>
  <c r="K13" i="6" s="1"/>
  <c r="J25" i="6"/>
  <c r="K25" i="6" s="1"/>
  <c r="J37" i="6"/>
  <c r="K37" i="6" s="1"/>
  <c r="J14" i="6"/>
  <c r="K14" i="6" s="1"/>
  <c r="J17" i="6"/>
  <c r="K17" i="6" s="1"/>
  <c r="J26" i="6"/>
  <c r="K26" i="6" s="1"/>
  <c r="J29" i="6"/>
  <c r="K29" i="6" s="1"/>
  <c r="J38" i="6"/>
  <c r="K38" i="6" s="1"/>
  <c r="J40" i="6"/>
  <c r="K40" i="6" s="1"/>
  <c r="J36" i="6"/>
  <c r="K36" i="6" s="1"/>
  <c r="J32" i="6"/>
  <c r="K32" i="6" s="1"/>
  <c r="J28" i="6"/>
  <c r="K28" i="6" s="1"/>
  <c r="J24" i="6"/>
  <c r="K24" i="6" s="1"/>
  <c r="J20" i="6"/>
  <c r="K20" i="6" s="1"/>
  <c r="J16" i="6"/>
  <c r="K16" i="6" s="1"/>
  <c r="J12" i="6"/>
  <c r="K12" i="6" s="1"/>
  <c r="J4" i="6"/>
  <c r="K4" i="6" s="1"/>
  <c r="J45" i="6"/>
  <c r="K45" i="6" s="1"/>
  <c r="J39" i="6"/>
  <c r="K39" i="6" s="1"/>
  <c r="J47" i="6"/>
  <c r="K47" i="6" s="1"/>
  <c r="J43" i="6"/>
  <c r="K43" i="6" s="1"/>
  <c r="J35" i="6"/>
  <c r="K35" i="6" s="1"/>
  <c r="J31" i="6"/>
  <c r="K31" i="6" s="1"/>
  <c r="J27" i="6"/>
  <c r="K27" i="6" s="1"/>
  <c r="J23" i="6"/>
  <c r="K23" i="6" s="1"/>
  <c r="J19" i="6"/>
  <c r="K19" i="6" s="1"/>
  <c r="J15" i="6"/>
  <c r="K15" i="6" s="1"/>
  <c r="J11" i="6"/>
  <c r="K11" i="6" s="1"/>
  <c r="J7" i="6"/>
  <c r="K7" i="6" s="1"/>
  <c r="J50" i="6"/>
  <c r="K50" i="6" s="1"/>
  <c r="J46" i="6"/>
  <c r="K46" i="6" s="1"/>
  <c r="J34" i="6"/>
  <c r="K34" i="6" s="1"/>
  <c r="J30" i="6"/>
  <c r="K30" i="6" s="1"/>
  <c r="J22" i="6"/>
  <c r="K22" i="6" s="1"/>
  <c r="J18" i="6"/>
  <c r="K18" i="6" s="1"/>
  <c r="J10" i="6"/>
  <c r="K10" i="6" s="1"/>
  <c r="J6" i="6"/>
  <c r="K6" i="6" s="1"/>
  <c r="J42" i="6"/>
  <c r="K42" i="6" s="1"/>
  <c r="AR14" i="6" l="1"/>
  <c r="C24" i="4"/>
  <c r="C9" i="5" s="1"/>
  <c r="AS38" i="6"/>
  <c r="AS14" i="6"/>
  <c r="AS54" i="6"/>
  <c r="AS58" i="6"/>
  <c r="AS63" i="6"/>
  <c r="AS62" i="6"/>
  <c r="AS64" i="6"/>
  <c r="AR22" i="6"/>
  <c r="AR32" i="6"/>
  <c r="AS17" i="6"/>
  <c r="AR39" i="6"/>
  <c r="AR50" i="6"/>
  <c r="AR33" i="6"/>
  <c r="AS24" i="6"/>
  <c r="AS34" i="6"/>
  <c r="AR38" i="6"/>
  <c r="AR63" i="6"/>
  <c r="AS31" i="6"/>
  <c r="AS49" i="6"/>
  <c r="AR54" i="6"/>
  <c r="AR56" i="6"/>
  <c r="AR58" i="6"/>
  <c r="AS29" i="6"/>
  <c r="AS56" i="6"/>
  <c r="AR31" i="6"/>
  <c r="AS30" i="6"/>
  <c r="AR30" i="6"/>
  <c r="AR24" i="6"/>
  <c r="AR34" i="6"/>
  <c r="AR17" i="6"/>
  <c r="AS39" i="6"/>
  <c r="AS50" i="6"/>
  <c r="AR53" i="6"/>
  <c r="AR25" i="6"/>
  <c r="AS32" i="6"/>
  <c r="AS41" i="6"/>
  <c r="AR62" i="6"/>
  <c r="AR64" i="6"/>
  <c r="AS22" i="6"/>
  <c r="AS23" i="6"/>
  <c r="AR29" i="6"/>
  <c r="AR13" i="6"/>
  <c r="AS45" i="6"/>
  <c r="AS15" i="6"/>
  <c r="AS40" i="6"/>
  <c r="AS18" i="6"/>
  <c r="AS42" i="6"/>
  <c r="AR21" i="6"/>
  <c r="AR61" i="6"/>
  <c r="AR55" i="6"/>
  <c r="AR49" i="6"/>
  <c r="AS37" i="6"/>
  <c r="AS55" i="6"/>
  <c r="AS25" i="6"/>
  <c r="AS65" i="6"/>
  <c r="AR45" i="6"/>
  <c r="AR15" i="6"/>
  <c r="AR40" i="6"/>
  <c r="AR18" i="6"/>
  <c r="AR42" i="6"/>
  <c r="AS21" i="6"/>
  <c r="AR41" i="6"/>
  <c r="AS53" i="6"/>
  <c r="AS46" i="6"/>
  <c r="AS16" i="6"/>
  <c r="AS47" i="6"/>
  <c r="AS26" i="6"/>
  <c r="AS66" i="6"/>
  <c r="AR37" i="6"/>
  <c r="AR23" i="6"/>
  <c r="AR48" i="6"/>
  <c r="AR65" i="6"/>
  <c r="AS61" i="6"/>
  <c r="AS48" i="6"/>
  <c r="AS33" i="6"/>
  <c r="AS57" i="6"/>
  <c r="AR46" i="6"/>
  <c r="AR16" i="6"/>
  <c r="AR47" i="6"/>
  <c r="AR26" i="6"/>
  <c r="AR66" i="6"/>
  <c r="AS13" i="6"/>
  <c r="AR57" i="6"/>
  <c r="AS8" i="6"/>
  <c r="AR7" i="6"/>
  <c r="AR10" i="6"/>
  <c r="AS10" i="6"/>
  <c r="AS7" i="6"/>
  <c r="AR6" i="6"/>
  <c r="AS6" i="6"/>
  <c r="AR8" i="6"/>
  <c r="AS5" i="6"/>
  <c r="AS9" i="6"/>
  <c r="AR9" i="6"/>
  <c r="AR5" i="6"/>
  <c r="C25" i="4"/>
  <c r="C67" i="4"/>
  <c r="C47" i="4"/>
  <c r="C81" i="4"/>
  <c r="C60" i="4"/>
  <c r="C93" i="4"/>
  <c r="C101" i="4"/>
  <c r="C69" i="4"/>
  <c r="C103" i="4"/>
  <c r="C83" i="4"/>
  <c r="C27" i="4"/>
  <c r="AQ6" i="6"/>
  <c r="C68" i="4"/>
  <c r="C58" i="4"/>
  <c r="C102" i="4"/>
  <c r="C82" i="4"/>
  <c r="C78" i="4"/>
  <c r="C36" i="4"/>
  <c r="C70" i="4"/>
  <c r="C39" i="4"/>
  <c r="C72" i="4"/>
  <c r="C46" i="4"/>
  <c r="C57" i="4"/>
  <c r="C28" i="4"/>
  <c r="C89" i="4"/>
  <c r="C59" i="4"/>
  <c r="C38" i="4"/>
  <c r="C71" i="4"/>
  <c r="C79" i="4"/>
  <c r="C37" i="4"/>
  <c r="C80" i="4"/>
  <c r="C50" i="4"/>
  <c r="C105" i="4"/>
  <c r="C45" i="4"/>
  <c r="C56" i="4"/>
  <c r="E104" i="4"/>
  <c r="E102" i="4"/>
  <c r="E100" i="4"/>
  <c r="E93" i="4"/>
  <c r="E91" i="4"/>
  <c r="E89" i="4"/>
  <c r="E82" i="4"/>
  <c r="E80" i="4"/>
  <c r="E78" i="4"/>
  <c r="E71" i="4"/>
  <c r="E69" i="4"/>
  <c r="E67" i="4"/>
  <c r="E60" i="4"/>
  <c r="E58" i="4"/>
  <c r="E56" i="4"/>
  <c r="E49" i="4"/>
  <c r="E47" i="4"/>
  <c r="E45" i="4"/>
  <c r="E38" i="4"/>
  <c r="E36" i="4"/>
  <c r="E34" i="4"/>
  <c r="D25" i="4"/>
  <c r="D27" i="4"/>
  <c r="E23" i="4"/>
  <c r="D104" i="4"/>
  <c r="D102" i="4"/>
  <c r="D100" i="4"/>
  <c r="D93" i="4"/>
  <c r="D91" i="4"/>
  <c r="D89" i="4"/>
  <c r="D82" i="4"/>
  <c r="D80" i="4"/>
  <c r="D78" i="4"/>
  <c r="D71" i="4"/>
  <c r="D69" i="4"/>
  <c r="D67" i="4"/>
  <c r="D60" i="4"/>
  <c r="D58" i="4"/>
  <c r="D56" i="4"/>
  <c r="D49" i="4"/>
  <c r="D47" i="4"/>
  <c r="D45" i="4"/>
  <c r="D38" i="4"/>
  <c r="D36" i="4"/>
  <c r="D34" i="4"/>
  <c r="E25" i="4"/>
  <c r="E27" i="4"/>
  <c r="D23" i="4"/>
  <c r="E105" i="4"/>
  <c r="E103" i="4"/>
  <c r="E101" i="4"/>
  <c r="E94" i="4"/>
  <c r="E92" i="4"/>
  <c r="E90" i="4"/>
  <c r="E83" i="4"/>
  <c r="E81" i="4"/>
  <c r="E79" i="4"/>
  <c r="E72" i="4"/>
  <c r="E70" i="4"/>
  <c r="E68" i="4"/>
  <c r="E61" i="4"/>
  <c r="E59" i="4"/>
  <c r="E57" i="4"/>
  <c r="E50" i="4"/>
  <c r="E48" i="4"/>
  <c r="E46" i="4"/>
  <c r="E39" i="4"/>
  <c r="E37" i="4"/>
  <c r="E35" i="4"/>
  <c r="D24" i="4"/>
  <c r="D26" i="4"/>
  <c r="D28" i="4"/>
  <c r="D105" i="4"/>
  <c r="D103" i="4"/>
  <c r="D101" i="4"/>
  <c r="D94" i="4"/>
  <c r="D92" i="4"/>
  <c r="D90" i="4"/>
  <c r="D83" i="4"/>
  <c r="D81" i="4"/>
  <c r="D79" i="4"/>
  <c r="D72" i="4"/>
  <c r="D70" i="4"/>
  <c r="D68" i="4"/>
  <c r="D57" i="4"/>
  <c r="D39" i="4"/>
  <c r="E26" i="4"/>
  <c r="D50" i="4"/>
  <c r="D37" i="4"/>
  <c r="E28" i="4"/>
  <c r="D61" i="4"/>
  <c r="D48" i="4"/>
  <c r="D35" i="4"/>
  <c r="D59" i="4"/>
  <c r="D46" i="4"/>
  <c r="E24" i="4"/>
  <c r="C100" i="4"/>
  <c r="C91" i="4"/>
  <c r="C49" i="4"/>
  <c r="C104" i="4"/>
  <c r="C90" i="4"/>
  <c r="C48" i="4"/>
  <c r="C92" i="4"/>
  <c r="C61" i="4"/>
  <c r="C94" i="4"/>
  <c r="C34" i="4"/>
  <c r="C35" i="4"/>
  <c r="C26" i="4"/>
  <c r="P4" i="6" l="1"/>
  <c r="R12" i="6"/>
  <c r="R10" i="6"/>
  <c r="R11" i="6"/>
  <c r="Q11" i="6"/>
  <c r="Q9" i="6"/>
  <c r="P12" i="6"/>
  <c r="Q10" i="6"/>
  <c r="Q12" i="6"/>
  <c r="P10" i="6"/>
  <c r="P11" i="6"/>
  <c r="P9" i="6"/>
  <c r="R9" i="6"/>
  <c r="R24" i="6"/>
  <c r="Q25" i="6"/>
  <c r="P24" i="6"/>
  <c r="Q26" i="6"/>
  <c r="Q27" i="6"/>
  <c r="P26" i="6"/>
  <c r="R26" i="6"/>
  <c r="P25" i="6"/>
  <c r="R25" i="6"/>
  <c r="P27" i="6"/>
  <c r="R27" i="6"/>
  <c r="Q24" i="6"/>
  <c r="R40" i="6"/>
  <c r="Q40" i="6"/>
  <c r="R39" i="6"/>
  <c r="R41" i="6"/>
  <c r="P42" i="6"/>
  <c r="P39" i="6"/>
  <c r="P40" i="6"/>
  <c r="R42" i="6"/>
  <c r="Q39" i="6"/>
  <c r="P41" i="6"/>
  <c r="Q41" i="6"/>
  <c r="Q42" i="6"/>
  <c r="P19" i="6"/>
  <c r="R21" i="6"/>
  <c r="P22" i="6"/>
  <c r="R19" i="6"/>
  <c r="Q21" i="6"/>
  <c r="Q19" i="6"/>
  <c r="P21" i="6"/>
  <c r="R20" i="6"/>
  <c r="R22" i="6"/>
  <c r="Q22" i="6"/>
  <c r="Q20" i="6"/>
  <c r="P20" i="6"/>
  <c r="R36" i="6"/>
  <c r="Q37" i="6"/>
  <c r="P36" i="6"/>
  <c r="Q34" i="6"/>
  <c r="R34" i="6"/>
  <c r="P35" i="6"/>
  <c r="Q35" i="6"/>
  <c r="P37" i="6"/>
  <c r="Q36" i="6"/>
  <c r="R35" i="6"/>
  <c r="P34" i="6"/>
  <c r="R37" i="6"/>
  <c r="Q32" i="6"/>
  <c r="R32" i="6"/>
  <c r="P30" i="6"/>
  <c r="Q29" i="6"/>
  <c r="Q30" i="6"/>
  <c r="P29" i="6"/>
  <c r="Q31" i="6"/>
  <c r="P32" i="6"/>
  <c r="R31" i="6"/>
  <c r="R29" i="6"/>
  <c r="P31" i="6"/>
  <c r="R30" i="6"/>
  <c r="R14" i="6"/>
  <c r="Q16" i="6"/>
  <c r="P17" i="6"/>
  <c r="Q17" i="6"/>
  <c r="R17" i="6"/>
  <c r="P15" i="6"/>
  <c r="R15" i="6"/>
  <c r="R16" i="6"/>
  <c r="Q14" i="6"/>
  <c r="Q15" i="6"/>
  <c r="P14" i="6"/>
  <c r="P16" i="6"/>
  <c r="AQ58" i="6"/>
  <c r="C61" i="5"/>
  <c r="AQ61" i="6"/>
  <c r="C64" i="5"/>
  <c r="AQ26" i="6"/>
  <c r="C29" i="5"/>
  <c r="AQ10" i="6"/>
  <c r="C13" i="5"/>
  <c r="AQ49" i="6"/>
  <c r="C52" i="5"/>
  <c r="AQ48" i="6"/>
  <c r="C51" i="5"/>
  <c r="AQ65" i="6"/>
  <c r="C68" i="5"/>
  <c r="AQ29" i="6"/>
  <c r="C32" i="5"/>
  <c r="AQ47" i="6"/>
  <c r="C50" i="5"/>
  <c r="AQ40" i="6"/>
  <c r="C43" i="5"/>
  <c r="AQ9" i="6"/>
  <c r="C12" i="5"/>
  <c r="AQ62" i="6"/>
  <c r="C65" i="5"/>
  <c r="AQ23" i="6"/>
  <c r="C26" i="5"/>
  <c r="AQ14" i="6"/>
  <c r="C17" i="5"/>
  <c r="AQ56" i="6"/>
  <c r="C59" i="5"/>
  <c r="AQ25" i="6"/>
  <c r="C28" i="5"/>
  <c r="AQ21" i="6"/>
  <c r="C24" i="5"/>
  <c r="AQ16" i="6"/>
  <c r="C19" i="5"/>
  <c r="AQ32" i="6"/>
  <c r="C35" i="5"/>
  <c r="AQ22" i="6"/>
  <c r="C25" i="5"/>
  <c r="AQ15" i="6"/>
  <c r="C18" i="5"/>
  <c r="AQ31" i="6"/>
  <c r="C34" i="5"/>
  <c r="AQ50" i="6"/>
  <c r="C53" i="5"/>
  <c r="AQ57" i="6"/>
  <c r="C60" i="5"/>
  <c r="AQ37" i="6"/>
  <c r="C40" i="5"/>
  <c r="AQ54" i="6"/>
  <c r="C57" i="5"/>
  <c r="AQ41" i="6"/>
  <c r="C44" i="5"/>
  <c r="AQ18" i="6"/>
  <c r="C21" i="5"/>
  <c r="AQ39" i="6"/>
  <c r="C42" i="5"/>
  <c r="AQ8" i="6"/>
  <c r="C11" i="5"/>
  <c r="AQ34" i="6"/>
  <c r="C37" i="5"/>
  <c r="AQ17" i="6"/>
  <c r="C20" i="5"/>
  <c r="AQ30" i="6"/>
  <c r="C33" i="5"/>
  <c r="AQ63" i="6"/>
  <c r="C66" i="5"/>
  <c r="AQ13" i="6"/>
  <c r="C16" i="5"/>
  <c r="AQ24" i="6"/>
  <c r="C27" i="5"/>
  <c r="AQ55" i="6"/>
  <c r="C58" i="5"/>
  <c r="AQ66" i="6"/>
  <c r="C69" i="5"/>
  <c r="AQ46" i="6"/>
  <c r="C49" i="5"/>
  <c r="AQ53" i="6"/>
  <c r="C56" i="5"/>
  <c r="AQ42" i="6"/>
  <c r="C45" i="5"/>
  <c r="AQ45" i="6"/>
  <c r="C48" i="5"/>
  <c r="AQ38" i="6"/>
  <c r="C41" i="5"/>
  <c r="AQ64" i="6"/>
  <c r="C67" i="5"/>
  <c r="AQ33" i="6"/>
  <c r="C36" i="5"/>
  <c r="AQ7" i="6"/>
  <c r="C10" i="5"/>
  <c r="AQ5" i="6"/>
  <c r="C8" i="5"/>
  <c r="R6" i="6"/>
  <c r="R5" i="6"/>
  <c r="Q4" i="6"/>
  <c r="Q7" i="6"/>
  <c r="R7" i="6"/>
  <c r="Q5" i="6"/>
  <c r="Q6" i="6"/>
  <c r="R4" i="6"/>
  <c r="P7" i="6"/>
  <c r="P6" i="6"/>
  <c r="P5" i="6"/>
  <c r="T37" i="6" l="1"/>
  <c r="T16" i="6"/>
  <c r="T32" i="6"/>
  <c r="T25" i="6"/>
  <c r="T40" i="6"/>
  <c r="T9" i="6"/>
  <c r="T20" i="6"/>
  <c r="V17" i="6"/>
  <c r="S17" i="6"/>
  <c r="V42" i="6"/>
  <c r="S42" i="6"/>
  <c r="S11" i="6"/>
  <c r="V11" i="6"/>
  <c r="T31" i="6"/>
  <c r="T30" i="6"/>
  <c r="S35" i="6"/>
  <c r="V35" i="6"/>
  <c r="V20" i="6"/>
  <c r="S20" i="6"/>
  <c r="T22" i="6"/>
  <c r="T24" i="6"/>
  <c r="V10" i="6"/>
  <c r="S10" i="6"/>
  <c r="T15" i="6"/>
  <c r="T35" i="6"/>
  <c r="S22" i="6"/>
  <c r="V22" i="6"/>
  <c r="T12" i="6"/>
  <c r="S29" i="6"/>
  <c r="V29" i="6"/>
  <c r="V34" i="6"/>
  <c r="S34" i="6"/>
  <c r="S24" i="6"/>
  <c r="V24" i="6"/>
  <c r="V26" i="6"/>
  <c r="S26" i="6"/>
  <c r="S12" i="6"/>
  <c r="V12" i="6"/>
  <c r="T14" i="6"/>
  <c r="T17" i="6"/>
  <c r="V31" i="6"/>
  <c r="S31" i="6"/>
  <c r="T34" i="6"/>
  <c r="T36" i="6"/>
  <c r="T21" i="6"/>
  <c r="S41" i="6"/>
  <c r="V41" i="6"/>
  <c r="S15" i="6"/>
  <c r="V15" i="6"/>
  <c r="V16" i="6"/>
  <c r="S16" i="6"/>
  <c r="T29" i="6"/>
  <c r="S37" i="6"/>
  <c r="V37" i="6"/>
  <c r="V19" i="6"/>
  <c r="S19" i="6"/>
  <c r="T41" i="6"/>
  <c r="T39" i="6"/>
  <c r="V40" i="6"/>
  <c r="S40" i="6"/>
  <c r="T27" i="6"/>
  <c r="T26" i="6"/>
  <c r="S25" i="6"/>
  <c r="V25" i="6"/>
  <c r="T11" i="6"/>
  <c r="V14" i="6"/>
  <c r="S14" i="6"/>
  <c r="V30" i="6"/>
  <c r="S30" i="6"/>
  <c r="S32" i="6"/>
  <c r="V32" i="6"/>
  <c r="V36" i="6"/>
  <c r="S36" i="6"/>
  <c r="V21" i="6"/>
  <c r="S21" i="6"/>
  <c r="T19" i="6"/>
  <c r="V39" i="6"/>
  <c r="S39" i="6"/>
  <c r="T42" i="6"/>
  <c r="S27" i="6"/>
  <c r="V27" i="6"/>
  <c r="T10" i="6"/>
  <c r="V9" i="6"/>
  <c r="S9" i="6"/>
  <c r="T4" i="6"/>
  <c r="V7" i="6"/>
  <c r="V6" i="6"/>
  <c r="V4" i="6"/>
  <c r="V5" i="6"/>
  <c r="T7" i="6"/>
  <c r="T5" i="6"/>
  <c r="T6" i="6"/>
  <c r="S6" i="6"/>
  <c r="S7" i="6"/>
  <c r="S4" i="6"/>
  <c r="S5" i="6"/>
  <c r="U36" i="6" l="1"/>
  <c r="X36" i="6" s="1"/>
  <c r="U24" i="6"/>
  <c r="X24" i="6" s="1"/>
  <c r="U17" i="6"/>
  <c r="X17" i="6" s="1"/>
  <c r="U12" i="6"/>
  <c r="X12" i="6" s="1"/>
  <c r="U39" i="6"/>
  <c r="X39" i="6" s="1"/>
  <c r="U32" i="6"/>
  <c r="X32" i="6" s="1"/>
  <c r="U22" i="6"/>
  <c r="X22" i="6" s="1"/>
  <c r="U41" i="6"/>
  <c r="X41" i="6" s="1"/>
  <c r="U30" i="6"/>
  <c r="X30" i="6" s="1"/>
  <c r="U37" i="6"/>
  <c r="X37" i="6" s="1"/>
  <c r="U9" i="6"/>
  <c r="X9" i="6" s="1"/>
  <c r="U27" i="6"/>
  <c r="X27" i="6" s="1"/>
  <c r="U40" i="6"/>
  <c r="X40" i="6" s="1"/>
  <c r="U19" i="6"/>
  <c r="X19" i="6" s="1"/>
  <c r="U15" i="6"/>
  <c r="X15" i="6" s="1"/>
  <c r="U26" i="6"/>
  <c r="X26" i="6" s="1"/>
  <c r="U34" i="6"/>
  <c r="X34" i="6" s="1"/>
  <c r="U35" i="6"/>
  <c r="X35" i="6" s="1"/>
  <c r="U11" i="6"/>
  <c r="X11" i="6" s="1"/>
  <c r="U31" i="6"/>
  <c r="X31" i="6" s="1"/>
  <c r="U29" i="6"/>
  <c r="X29" i="6" s="1"/>
  <c r="U21" i="6"/>
  <c r="X21" i="6" s="1"/>
  <c r="U14" i="6"/>
  <c r="X14" i="6" s="1"/>
  <c r="U25" i="6"/>
  <c r="X25" i="6" s="1"/>
  <c r="U16" i="6"/>
  <c r="X16" i="6" s="1"/>
  <c r="U10" i="6"/>
  <c r="X10" i="6" s="1"/>
  <c r="U20" i="6"/>
  <c r="X20" i="6" s="1"/>
  <c r="U42" i="6"/>
  <c r="X42" i="6" s="1"/>
  <c r="U6" i="6"/>
  <c r="X6" i="6" s="1"/>
  <c r="U5" i="6"/>
  <c r="X5" i="6" s="1"/>
  <c r="U4" i="6"/>
  <c r="X4" i="6" s="1"/>
  <c r="U7" i="6"/>
  <c r="X7" i="6" s="1"/>
  <c r="Y25" i="6" l="1"/>
  <c r="Z25" i="6" s="1"/>
  <c r="Y32" i="6"/>
  <c r="Z32" i="6" s="1"/>
  <c r="Y22" i="6"/>
  <c r="Z22" i="6" s="1"/>
  <c r="Y15" i="6"/>
  <c r="Z15" i="6" s="1"/>
  <c r="Y26" i="6"/>
  <c r="Z26" i="6" s="1"/>
  <c r="Y42" i="6"/>
  <c r="Z42" i="6" s="1"/>
  <c r="Y34" i="6"/>
  <c r="Z34" i="6" s="1"/>
  <c r="Y9" i="6"/>
  <c r="Z9" i="6" s="1"/>
  <c r="Y19" i="6"/>
  <c r="Z19" i="6" s="1"/>
  <c r="Y21" i="6"/>
  <c r="Z21" i="6" s="1"/>
  <c r="Y30" i="6"/>
  <c r="Z30" i="6" s="1"/>
  <c r="Y12" i="6"/>
  <c r="Z12" i="6" s="1"/>
  <c r="Y11" i="6"/>
  <c r="Z11" i="6" s="1"/>
  <c r="Y41" i="6"/>
  <c r="Z41" i="6" s="1"/>
  <c r="Y10" i="6"/>
  <c r="Z10" i="6" s="1"/>
  <c r="Y24" i="6"/>
  <c r="Z24" i="6" s="1"/>
  <c r="Y16" i="6"/>
  <c r="Z16" i="6" s="1"/>
  <c r="Y29" i="6"/>
  <c r="Z29" i="6" s="1"/>
  <c r="Y17" i="6"/>
  <c r="Z17" i="6" s="1"/>
  <c r="Y14" i="6"/>
  <c r="Z14" i="6" s="1"/>
  <c r="Y27" i="6"/>
  <c r="Z27" i="6" s="1"/>
  <c r="Y35" i="6"/>
  <c r="Z35" i="6" s="1"/>
  <c r="Y36" i="6"/>
  <c r="Z36" i="6" s="1"/>
  <c r="Y40" i="6"/>
  <c r="Z40" i="6" s="1"/>
  <c r="Y39" i="6"/>
  <c r="Z39" i="6" s="1"/>
  <c r="Y20" i="6"/>
  <c r="Z20" i="6" s="1"/>
  <c r="Y31" i="6"/>
  <c r="Z31" i="6" s="1"/>
  <c r="Y37" i="6"/>
  <c r="Z37" i="6" s="1"/>
  <c r="Y4" i="6"/>
  <c r="Z4" i="6" s="1"/>
  <c r="Y5" i="6"/>
  <c r="Z5" i="6" s="1"/>
  <c r="Y6" i="6"/>
  <c r="Z6" i="6" s="1"/>
  <c r="Y7" i="6"/>
  <c r="Z7" i="6" s="1"/>
  <c r="AA16" i="6" l="1"/>
  <c r="AA11" i="6"/>
  <c r="AA27" i="6"/>
  <c r="AA22" i="6"/>
  <c r="AA20" i="6"/>
  <c r="AA35" i="6"/>
  <c r="AA29" i="6"/>
  <c r="AA41" i="6"/>
  <c r="AA21" i="6"/>
  <c r="AA15" i="6"/>
  <c r="AA37" i="6"/>
  <c r="AA40" i="6"/>
  <c r="AA14" i="6"/>
  <c r="AA24" i="6"/>
  <c r="AA12" i="6"/>
  <c r="AA26" i="6"/>
  <c r="AA34" i="6"/>
  <c r="AA39" i="6"/>
  <c r="AA42" i="6"/>
  <c r="AA19" i="6"/>
  <c r="AA31" i="6"/>
  <c r="AA36" i="6"/>
  <c r="AA17" i="6"/>
  <c r="AA10" i="6"/>
  <c r="AA9" i="6"/>
  <c r="AA30" i="6"/>
  <c r="AA32" i="6"/>
  <c r="AA25" i="6"/>
  <c r="AA6" i="6"/>
  <c r="AA5" i="6"/>
  <c r="AA4" i="6"/>
  <c r="AA7" i="6"/>
  <c r="AB25" i="6" l="1"/>
  <c r="AC25" i="6" s="1"/>
  <c r="AB21" i="6"/>
  <c r="AC21" i="6" s="1"/>
  <c r="AB40" i="6"/>
  <c r="AC40" i="6" s="1"/>
  <c r="AB31" i="6"/>
  <c r="AC31" i="6" s="1"/>
  <c r="AB19" i="6"/>
  <c r="AC19" i="6" s="1"/>
  <c r="AB26" i="6"/>
  <c r="AC26" i="6" s="1"/>
  <c r="AB22" i="6"/>
  <c r="AC22" i="6" s="1"/>
  <c r="AB32" i="6"/>
  <c r="AC32" i="6" s="1"/>
  <c r="AB17" i="6"/>
  <c r="AC17" i="6" s="1"/>
  <c r="AB42" i="6"/>
  <c r="AC42" i="6" s="1"/>
  <c r="AB12" i="6"/>
  <c r="AC12" i="6" s="1"/>
  <c r="AB37" i="6"/>
  <c r="AC37" i="6" s="1"/>
  <c r="AB20" i="6"/>
  <c r="AC20" i="6" s="1"/>
  <c r="AB11" i="6"/>
  <c r="AC11" i="6" s="1"/>
  <c r="AB9" i="6"/>
  <c r="AC9" i="6" s="1"/>
  <c r="AB34" i="6"/>
  <c r="AC34" i="6" s="1"/>
  <c r="AB35" i="6"/>
  <c r="AC35" i="6" s="1"/>
  <c r="AB14" i="6"/>
  <c r="AC14" i="6" s="1"/>
  <c r="AB16" i="6"/>
  <c r="AC16" i="6" s="1"/>
  <c r="AB10" i="6"/>
  <c r="AC10" i="6" s="1"/>
  <c r="AB30" i="6"/>
  <c r="AC30" i="6" s="1"/>
  <c r="AB29" i="6"/>
  <c r="AC29" i="6" s="1"/>
  <c r="AB36" i="6"/>
  <c r="AC36" i="6" s="1"/>
  <c r="AB39" i="6"/>
  <c r="AC39" i="6" s="1"/>
  <c r="AB41" i="6"/>
  <c r="AC41" i="6" s="1"/>
  <c r="AB24" i="6"/>
  <c r="AC24" i="6" s="1"/>
  <c r="AB15" i="6"/>
  <c r="AC15" i="6" s="1"/>
  <c r="AB27" i="6"/>
  <c r="AC27" i="6" s="1"/>
  <c r="AB4" i="6"/>
  <c r="AC4" i="6" s="1"/>
  <c r="AB5" i="6"/>
  <c r="AC5" i="6" s="1"/>
  <c r="AB7" i="6"/>
  <c r="AC7" i="6" s="1"/>
  <c r="AB6" i="6"/>
  <c r="AC6" i="6" s="1"/>
  <c r="F83" i="4"/>
  <c r="F82" i="4"/>
  <c r="L52" i="5" s="1"/>
  <c r="F81" i="4"/>
  <c r="L51" i="5" s="1"/>
  <c r="F80" i="4"/>
  <c r="L50" i="5" s="1"/>
  <c r="F79" i="4"/>
  <c r="L49" i="5" s="1"/>
  <c r="F78" i="4"/>
  <c r="L48" i="5" s="1"/>
  <c r="F72" i="4"/>
  <c r="F71" i="4"/>
  <c r="L44" i="5" s="1"/>
  <c r="F70" i="4"/>
  <c r="L43" i="5" s="1"/>
  <c r="F69" i="4"/>
  <c r="L42" i="5" s="1"/>
  <c r="F68" i="4"/>
  <c r="L41" i="5" s="1"/>
  <c r="F67" i="4"/>
  <c r="L40" i="5" s="1"/>
  <c r="F61" i="4"/>
  <c r="F60" i="4"/>
  <c r="L36" i="5" s="1"/>
  <c r="F59" i="4"/>
  <c r="L35" i="5" s="1"/>
  <c r="F58" i="4"/>
  <c r="L34" i="5" s="1"/>
  <c r="F57" i="4"/>
  <c r="L33" i="5" s="1"/>
  <c r="F56" i="4"/>
  <c r="L32" i="5" s="1"/>
  <c r="F50" i="4"/>
  <c r="F49" i="4"/>
  <c r="L28" i="5" s="1"/>
  <c r="F48" i="4"/>
  <c r="L27" i="5" s="1"/>
  <c r="F47" i="4"/>
  <c r="L26" i="5" s="1"/>
  <c r="F46" i="4"/>
  <c r="L25" i="5" s="1"/>
  <c r="F45" i="4"/>
  <c r="L24" i="5" s="1"/>
  <c r="F39" i="4"/>
  <c r="F38" i="4"/>
  <c r="L20" i="5" s="1"/>
  <c r="F37" i="4"/>
  <c r="L19" i="5" s="1"/>
  <c r="F36" i="4"/>
  <c r="L18" i="5" s="1"/>
  <c r="F35" i="4"/>
  <c r="L17" i="5" s="1"/>
  <c r="F34" i="4"/>
  <c r="L16" i="5" s="1"/>
  <c r="F28" i="4"/>
  <c r="F27" i="4"/>
  <c r="L12" i="5" s="1"/>
  <c r="F26" i="4"/>
  <c r="L11" i="5" s="1"/>
  <c r="F25" i="4"/>
  <c r="L10" i="5" s="1"/>
  <c r="F24" i="4"/>
  <c r="L9" i="5" s="1"/>
  <c r="F23" i="4"/>
  <c r="L8" i="5" s="1"/>
  <c r="L13" i="5" l="1"/>
  <c r="L29" i="5"/>
  <c r="L45" i="5"/>
  <c r="L21" i="5"/>
  <c r="L37" i="5"/>
  <c r="L53" i="5"/>
  <c r="AD27" i="6"/>
  <c r="AD30" i="6"/>
  <c r="AD20" i="6"/>
  <c r="AD10" i="6"/>
  <c r="AD31" i="6"/>
  <c r="AD41" i="6"/>
  <c r="AD35" i="6"/>
  <c r="AD17" i="6"/>
  <c r="AD39" i="6"/>
  <c r="AD40" i="6"/>
  <c r="AD34" i="6"/>
  <c r="AD32" i="6"/>
  <c r="AD15" i="6"/>
  <c r="AD36" i="6"/>
  <c r="AD16" i="6"/>
  <c r="AD9" i="6"/>
  <c r="AD12" i="6"/>
  <c r="AD22" i="6"/>
  <c r="AD19" i="6"/>
  <c r="AD37" i="6"/>
  <c r="AD21" i="6"/>
  <c r="AD24" i="6"/>
  <c r="AD29" i="6"/>
  <c r="AD14" i="6"/>
  <c r="AD11" i="6"/>
  <c r="AD42" i="6"/>
  <c r="AD26" i="6"/>
  <c r="AD25" i="6"/>
  <c r="AD6" i="6"/>
  <c r="AD7" i="6"/>
  <c r="AD5" i="6"/>
  <c r="AD4" i="6"/>
  <c r="D8" i="5"/>
  <c r="E8" i="5" s="1"/>
  <c r="AJ29" i="6" l="1"/>
  <c r="AG30" i="6"/>
  <c r="AG31" i="6"/>
  <c r="K80" i="4" s="1"/>
  <c r="AG32" i="6"/>
  <c r="K81" i="4" s="1"/>
  <c r="AH29" i="6"/>
  <c r="L78" i="4" s="1"/>
  <c r="AI31" i="6"/>
  <c r="AI32" i="6"/>
  <c r="AJ30" i="6"/>
  <c r="AJ32" i="6"/>
  <c r="AI29" i="6"/>
  <c r="AH30" i="6"/>
  <c r="L79" i="4" s="1"/>
  <c r="AH31" i="6"/>
  <c r="L80" i="4" s="1"/>
  <c r="AH32" i="6"/>
  <c r="L81" i="4" s="1"/>
  <c r="AI30" i="6"/>
  <c r="AG29" i="6"/>
  <c r="G62" i="6" s="1"/>
  <c r="AJ31" i="6"/>
  <c r="AI19" i="6"/>
  <c r="AI21" i="6"/>
  <c r="AH21" i="6"/>
  <c r="L58" i="4" s="1"/>
  <c r="AH20" i="6"/>
  <c r="L57" i="4" s="1"/>
  <c r="AG21" i="6"/>
  <c r="K58" i="4" s="1"/>
  <c r="AH22" i="6"/>
  <c r="L59" i="4" s="1"/>
  <c r="AI22" i="6"/>
  <c r="AJ19" i="6"/>
  <c r="AG20" i="6"/>
  <c r="AG19" i="6"/>
  <c r="AH19" i="6"/>
  <c r="L56" i="4" s="1"/>
  <c r="AG22" i="6"/>
  <c r="K59" i="4" s="1"/>
  <c r="AJ22" i="6"/>
  <c r="AJ20" i="6"/>
  <c r="AI20" i="6"/>
  <c r="AJ21" i="6"/>
  <c r="AH37" i="6"/>
  <c r="L92" i="4" s="1"/>
  <c r="AI36" i="6"/>
  <c r="AH34" i="6"/>
  <c r="L89" i="4" s="1"/>
  <c r="AJ34" i="6"/>
  <c r="AG34" i="6"/>
  <c r="AH36" i="6"/>
  <c r="L91" i="4" s="1"/>
  <c r="AJ37" i="6"/>
  <c r="AI35" i="6"/>
  <c r="AG37" i="6"/>
  <c r="K92" i="4" s="1"/>
  <c r="AI37" i="6"/>
  <c r="AH35" i="6"/>
  <c r="L90" i="4" s="1"/>
  <c r="AJ35" i="6"/>
  <c r="AJ36" i="6"/>
  <c r="AI34" i="6"/>
  <c r="AG36" i="6"/>
  <c r="K91" i="4" s="1"/>
  <c r="AG35" i="6"/>
  <c r="AG24" i="6"/>
  <c r="AH27" i="6"/>
  <c r="L70" i="4" s="1"/>
  <c r="AG26" i="6"/>
  <c r="K69" i="4" s="1"/>
  <c r="AG25" i="6"/>
  <c r="AG27" i="6"/>
  <c r="K70" i="4" s="1"/>
  <c r="AI26" i="6"/>
  <c r="AI27" i="6"/>
  <c r="AH26" i="6"/>
  <c r="L69" i="4" s="1"/>
  <c r="AJ27" i="6"/>
  <c r="AJ24" i="6"/>
  <c r="AJ25" i="6"/>
  <c r="AJ26" i="6"/>
  <c r="AH24" i="6"/>
  <c r="L67" i="4" s="1"/>
  <c r="AI25" i="6"/>
  <c r="AI24" i="6"/>
  <c r="AH25" i="6"/>
  <c r="L68" i="4" s="1"/>
  <c r="AH15" i="6"/>
  <c r="L46" i="4" s="1"/>
  <c r="AI15" i="6"/>
  <c r="AJ15" i="6"/>
  <c r="AG16" i="6"/>
  <c r="K47" i="4" s="1"/>
  <c r="AI17" i="6"/>
  <c r="AG17" i="6"/>
  <c r="K48" i="4" s="1"/>
  <c r="AG15" i="6"/>
  <c r="AH16" i="6"/>
  <c r="L47" i="4" s="1"/>
  <c r="AJ16" i="6"/>
  <c r="AH17" i="6"/>
  <c r="L48" i="4" s="1"/>
  <c r="AJ14" i="6"/>
  <c r="AI16" i="6"/>
  <c r="AH14" i="6"/>
  <c r="L45" i="4" s="1"/>
  <c r="AJ17" i="6"/>
  <c r="AI14" i="6"/>
  <c r="AG14" i="6"/>
  <c r="AJ10" i="6"/>
  <c r="AI9" i="6"/>
  <c r="AH11" i="6"/>
  <c r="L36" i="4" s="1"/>
  <c r="AG9" i="6"/>
  <c r="AG11" i="6"/>
  <c r="K36" i="4" s="1"/>
  <c r="AG10" i="6"/>
  <c r="AJ11" i="6"/>
  <c r="AH12" i="6"/>
  <c r="L37" i="4" s="1"/>
  <c r="AJ12" i="6"/>
  <c r="AJ9" i="6"/>
  <c r="AI11" i="6"/>
  <c r="AI10" i="6"/>
  <c r="AH9" i="6"/>
  <c r="L34" i="4" s="1"/>
  <c r="AG12" i="6"/>
  <c r="K37" i="4" s="1"/>
  <c r="AH10" i="6"/>
  <c r="L35" i="4" s="1"/>
  <c r="AI12" i="6"/>
  <c r="AG40" i="6"/>
  <c r="AI40" i="6"/>
  <c r="AH40" i="6"/>
  <c r="L101" i="4" s="1"/>
  <c r="AH41" i="6"/>
  <c r="L102" i="4" s="1"/>
  <c r="AI42" i="6"/>
  <c r="AJ41" i="6"/>
  <c r="AJ39" i="6"/>
  <c r="AJ42" i="6"/>
  <c r="AG41" i="6"/>
  <c r="K102" i="4" s="1"/>
  <c r="AI41" i="6"/>
  <c r="AH42" i="6"/>
  <c r="L103" i="4" s="1"/>
  <c r="AI39" i="6"/>
  <c r="AG42" i="6"/>
  <c r="K103" i="4" s="1"/>
  <c r="AJ40" i="6"/>
  <c r="AH39" i="6"/>
  <c r="L100" i="4" s="1"/>
  <c r="AG39" i="6"/>
  <c r="AH5" i="6"/>
  <c r="L24" i="4" s="1"/>
  <c r="AI6" i="6"/>
  <c r="AJ7" i="6"/>
  <c r="AG5" i="6"/>
  <c r="AI4" i="6"/>
  <c r="AI5" i="6"/>
  <c r="AJ6" i="6"/>
  <c r="AJ4" i="6"/>
  <c r="AG6" i="6"/>
  <c r="K25" i="4" s="1"/>
  <c r="AH7" i="6"/>
  <c r="L26" i="4" s="1"/>
  <c r="AH6" i="6"/>
  <c r="L25" i="4" s="1"/>
  <c r="AI7" i="6"/>
  <c r="AH4" i="6"/>
  <c r="L23" i="4" s="1"/>
  <c r="AG4" i="6"/>
  <c r="G54" i="6" s="1"/>
  <c r="N52" i="6" s="1"/>
  <c r="L85" i="6" s="1"/>
  <c r="AJ5" i="6"/>
  <c r="AG7" i="6"/>
  <c r="K26" i="4" s="1"/>
  <c r="D9" i="5"/>
  <c r="E9" i="5" s="1"/>
  <c r="D10" i="5"/>
  <c r="E10" i="5" s="1"/>
  <c r="D11" i="5"/>
  <c r="E11" i="5" s="1"/>
  <c r="D12" i="5"/>
  <c r="E12" i="5" s="1"/>
  <c r="D13" i="5"/>
  <c r="E13" i="5" s="1"/>
  <c r="AO40" i="6" l="1"/>
  <c r="AO42" i="6"/>
  <c r="K100" i="4"/>
  <c r="AO41" i="6"/>
  <c r="G63" i="6"/>
  <c r="N79" i="6" s="1"/>
  <c r="X36" i="4" s="1"/>
  <c r="AO39" i="6"/>
  <c r="AO14" i="6"/>
  <c r="G53" i="6"/>
  <c r="N55" i="6" s="1"/>
  <c r="P27" i="4" s="1"/>
  <c r="AO15" i="6"/>
  <c r="AO17" i="6"/>
  <c r="AO16" i="6"/>
  <c r="K45" i="4"/>
  <c r="H63" i="6"/>
  <c r="O79" i="6" s="1"/>
  <c r="X38" i="4" s="1"/>
  <c r="K90" i="4"/>
  <c r="K46" i="4"/>
  <c r="H57" i="6"/>
  <c r="O61" i="6" s="1"/>
  <c r="X29" i="4" s="1"/>
  <c r="K35" i="4"/>
  <c r="H54" i="6"/>
  <c r="O52" i="6" s="1"/>
  <c r="P25" i="4" s="1"/>
  <c r="AO22" i="6"/>
  <c r="AO20" i="6"/>
  <c r="AO21" i="6"/>
  <c r="AO19" i="6"/>
  <c r="K56" i="4"/>
  <c r="G57" i="6"/>
  <c r="N61" i="6" s="1"/>
  <c r="X27" i="4" s="1"/>
  <c r="H59" i="6"/>
  <c r="O70" i="6" s="1"/>
  <c r="P34" i="4" s="1"/>
  <c r="K79" i="4"/>
  <c r="AO12" i="6"/>
  <c r="G56" i="6"/>
  <c r="N58" i="6" s="1"/>
  <c r="X23" i="4" s="1"/>
  <c r="AO10" i="6"/>
  <c r="AO11" i="6"/>
  <c r="AO9" i="6"/>
  <c r="K34" i="4"/>
  <c r="K68" i="4"/>
  <c r="H62" i="6"/>
  <c r="O76" i="6" s="1"/>
  <c r="X34" i="4" s="1"/>
  <c r="K78" i="4"/>
  <c r="AO30" i="6"/>
  <c r="N76" i="6"/>
  <c r="X32" i="4" s="1"/>
  <c r="AO29" i="6"/>
  <c r="AO32" i="6"/>
  <c r="AO31" i="6"/>
  <c r="K101" i="4"/>
  <c r="H60" i="6"/>
  <c r="O73" i="6" s="1"/>
  <c r="P38" i="4" s="1"/>
  <c r="AO27" i="6"/>
  <c r="AO24" i="6"/>
  <c r="G59" i="6"/>
  <c r="N70" i="6" s="1"/>
  <c r="P32" i="4" s="1"/>
  <c r="AO26" i="6"/>
  <c r="AO25" i="6"/>
  <c r="K67" i="4"/>
  <c r="AO37" i="6"/>
  <c r="G60" i="6"/>
  <c r="N73" i="6" s="1"/>
  <c r="P36" i="4" s="1"/>
  <c r="AO34" i="6"/>
  <c r="AO36" i="6"/>
  <c r="AO35" i="6"/>
  <c r="K89" i="4"/>
  <c r="K57" i="4"/>
  <c r="H53" i="6"/>
  <c r="O55" i="6" s="1"/>
  <c r="P29" i="4" s="1"/>
  <c r="D29" i="9"/>
  <c r="J9" i="5"/>
  <c r="AO7" i="6"/>
  <c r="AO6" i="6"/>
  <c r="AO5" i="6"/>
  <c r="M79" i="5" s="1"/>
  <c r="AO4" i="6"/>
  <c r="M78" i="5" s="1"/>
  <c r="K23" i="4"/>
  <c r="P23" i="4"/>
  <c r="K24" i="4"/>
  <c r="H56" i="6"/>
  <c r="O58" i="6" s="1"/>
  <c r="X25" i="4" s="1"/>
  <c r="A64" i="5"/>
  <c r="A65" i="5"/>
  <c r="A66" i="5"/>
  <c r="A67" i="5"/>
  <c r="A51" i="5"/>
  <c r="A52" i="5"/>
  <c r="A53" i="5"/>
  <c r="A54" i="5"/>
  <c r="A57" i="5"/>
  <c r="A58" i="5"/>
  <c r="A59" i="5"/>
  <c r="A60" i="5"/>
  <c r="A61" i="5"/>
  <c r="A62" i="5"/>
  <c r="A63" i="5"/>
  <c r="D53" i="5"/>
  <c r="E53" i="5" s="1"/>
  <c r="D52" i="5"/>
  <c r="E52" i="5" s="1"/>
  <c r="D51" i="5"/>
  <c r="E51" i="5" s="1"/>
  <c r="D50" i="5"/>
  <c r="E50" i="5" s="1"/>
  <c r="D49" i="5"/>
  <c r="E49" i="5" s="1"/>
  <c r="D48" i="5"/>
  <c r="E48" i="5" s="1"/>
  <c r="D45" i="5"/>
  <c r="E45" i="5" s="1"/>
  <c r="D44" i="5"/>
  <c r="E44" i="5" s="1"/>
  <c r="D43" i="5"/>
  <c r="E43" i="5" s="1"/>
  <c r="D42" i="5"/>
  <c r="E42" i="5" s="1"/>
  <c r="D41" i="5"/>
  <c r="E41" i="5" s="1"/>
  <c r="D40" i="5"/>
  <c r="E40" i="5" s="1"/>
  <c r="D24" i="9" l="1"/>
  <c r="M80" i="5"/>
  <c r="E80" i="5" s="1"/>
  <c r="E24" i="9" s="1"/>
  <c r="L39" i="9"/>
  <c r="M116" i="5"/>
  <c r="E116" i="5" s="1"/>
  <c r="M39" i="9" s="1"/>
  <c r="H39" i="9"/>
  <c r="M110" i="5"/>
  <c r="E110" i="5" s="1"/>
  <c r="I39" i="9" s="1"/>
  <c r="L91" i="6"/>
  <c r="M138" i="5" s="1"/>
  <c r="L92" i="6"/>
  <c r="M139" i="5" s="1"/>
  <c r="P39" i="9"/>
  <c r="M122" i="5"/>
  <c r="E122" i="5" s="1"/>
  <c r="Q39" i="9" s="1"/>
  <c r="D25" i="9"/>
  <c r="M81" i="5"/>
  <c r="E81" i="5" s="1"/>
  <c r="E25" i="9" s="1"/>
  <c r="D38" i="9"/>
  <c r="M103" i="5"/>
  <c r="E103" i="5" s="1"/>
  <c r="E38" i="9" s="1"/>
  <c r="D40" i="9"/>
  <c r="M105" i="5"/>
  <c r="E105" i="5" s="1"/>
  <c r="E40" i="9" s="1"/>
  <c r="H22" i="9"/>
  <c r="M84" i="5"/>
  <c r="E84" i="5" s="1"/>
  <c r="H25" i="9"/>
  <c r="M87" i="5"/>
  <c r="E87" i="5" s="1"/>
  <c r="I25" i="9" s="1"/>
  <c r="P25" i="9"/>
  <c r="M99" i="5"/>
  <c r="E99" i="5" s="1"/>
  <c r="Q25" i="9" s="1"/>
  <c r="L24" i="9"/>
  <c r="M92" i="5"/>
  <c r="E92" i="5" s="1"/>
  <c r="M24" i="9" s="1"/>
  <c r="L22" i="9"/>
  <c r="M90" i="5"/>
  <c r="E90" i="5" s="1"/>
  <c r="D22" i="9"/>
  <c r="E78" i="5"/>
  <c r="L95" i="6"/>
  <c r="M142" i="5" s="1"/>
  <c r="D39" i="9"/>
  <c r="M104" i="5"/>
  <c r="E104" i="5" s="1"/>
  <c r="E39" i="9" s="1"/>
  <c r="L96" i="6"/>
  <c r="M143" i="5" s="1"/>
  <c r="H37" i="9"/>
  <c r="M108" i="5"/>
  <c r="E108" i="5" s="1"/>
  <c r="L98" i="6"/>
  <c r="M145" i="5" s="1"/>
  <c r="H24" i="9"/>
  <c r="M86" i="5"/>
  <c r="E86" i="5" s="1"/>
  <c r="I24" i="9" s="1"/>
  <c r="P22" i="9"/>
  <c r="M96" i="5"/>
  <c r="E96" i="5" s="1"/>
  <c r="L86" i="6"/>
  <c r="M133" i="5" s="1"/>
  <c r="L25" i="9"/>
  <c r="M93" i="5"/>
  <c r="E93" i="5" s="1"/>
  <c r="M25" i="9" s="1"/>
  <c r="P37" i="9"/>
  <c r="M120" i="5"/>
  <c r="E120" i="5" s="1"/>
  <c r="P40" i="9"/>
  <c r="M123" i="5"/>
  <c r="E123" i="5" s="1"/>
  <c r="Q40" i="9" s="1"/>
  <c r="L88" i="6"/>
  <c r="M135" i="5" s="1"/>
  <c r="D37" i="9"/>
  <c r="M102" i="5"/>
  <c r="E102" i="5" s="1"/>
  <c r="H38" i="9"/>
  <c r="M109" i="5"/>
  <c r="E109" i="5" s="1"/>
  <c r="I38" i="9" s="1"/>
  <c r="L89" i="6"/>
  <c r="M136" i="5" s="1"/>
  <c r="P23" i="9"/>
  <c r="M97" i="5"/>
  <c r="E97" i="5" s="1"/>
  <c r="Q23" i="9" s="1"/>
  <c r="L87" i="6"/>
  <c r="M134" i="5" s="1"/>
  <c r="L37" i="9"/>
  <c r="M114" i="5"/>
  <c r="E114" i="5" s="1"/>
  <c r="H40" i="9"/>
  <c r="M111" i="5"/>
  <c r="E111" i="5" s="1"/>
  <c r="I40" i="9" s="1"/>
  <c r="D23" i="9"/>
  <c r="E79" i="5"/>
  <c r="E23" i="9" s="1"/>
  <c r="L38" i="9"/>
  <c r="M115" i="5"/>
  <c r="E115" i="5" s="1"/>
  <c r="M38" i="9" s="1"/>
  <c r="L40" i="9"/>
  <c r="M117" i="5"/>
  <c r="E117" i="5" s="1"/>
  <c r="M40" i="9" s="1"/>
  <c r="L93" i="6"/>
  <c r="M140" i="5" s="1"/>
  <c r="L97" i="6"/>
  <c r="M144" i="5" s="1"/>
  <c r="H23" i="9"/>
  <c r="M85" i="5"/>
  <c r="E85" i="5" s="1"/>
  <c r="I23" i="9" s="1"/>
  <c r="L94" i="6"/>
  <c r="M141" i="5" s="1"/>
  <c r="P24" i="9"/>
  <c r="M98" i="5"/>
  <c r="E98" i="5" s="1"/>
  <c r="Q24" i="9" s="1"/>
  <c r="L100" i="6"/>
  <c r="M147" i="5" s="1"/>
  <c r="L23" i="9"/>
  <c r="M91" i="5"/>
  <c r="E91" i="5" s="1"/>
  <c r="M23" i="9" s="1"/>
  <c r="L99" i="6"/>
  <c r="M146" i="5" s="1"/>
  <c r="P38" i="9"/>
  <c r="M121" i="5"/>
  <c r="E121" i="5" s="1"/>
  <c r="Q38" i="9" s="1"/>
  <c r="E29" i="9"/>
  <c r="H44" i="9"/>
  <c r="J49" i="5"/>
  <c r="I44" i="9" s="1"/>
  <c r="J41" i="5"/>
  <c r="E44" i="9" s="1"/>
  <c r="D44" i="9"/>
  <c r="L90" i="6"/>
  <c r="M137" i="5" s="1"/>
  <c r="D37" i="5"/>
  <c r="E37" i="5" s="1"/>
  <c r="D36" i="5"/>
  <c r="E36" i="5" s="1"/>
  <c r="D35" i="5"/>
  <c r="E35" i="5" s="1"/>
  <c r="D34" i="5"/>
  <c r="E34" i="5" s="1"/>
  <c r="D33" i="5"/>
  <c r="E33" i="5" s="1"/>
  <c r="D32" i="5"/>
  <c r="E32" i="5" s="1"/>
  <c r="D29" i="5"/>
  <c r="E29" i="5" s="1"/>
  <c r="D28" i="5"/>
  <c r="E28" i="5" s="1"/>
  <c r="D27" i="5"/>
  <c r="E27" i="5" s="1"/>
  <c r="D26" i="5"/>
  <c r="E26" i="5" s="1"/>
  <c r="D25" i="5"/>
  <c r="E25" i="5" s="1"/>
  <c r="D24" i="5"/>
  <c r="E24" i="5" s="1"/>
  <c r="D21" i="5"/>
  <c r="E21" i="5" s="1"/>
  <c r="D20" i="5"/>
  <c r="E20" i="5" s="1"/>
  <c r="D19" i="5"/>
  <c r="E19" i="5" s="1"/>
  <c r="D18" i="5"/>
  <c r="E18" i="5" s="1"/>
  <c r="D17" i="5"/>
  <c r="E17" i="5" s="1"/>
  <c r="D16" i="5"/>
  <c r="E16" i="5" s="1"/>
  <c r="C95" i="5"/>
  <c r="C89" i="5"/>
  <c r="C83" i="5"/>
  <c r="C77" i="5"/>
  <c r="S95" i="6" l="1"/>
  <c r="Q87" i="6"/>
  <c r="O87" i="6"/>
  <c r="O91" i="6"/>
  <c r="S96" i="6"/>
  <c r="Q88" i="6"/>
  <c r="O88" i="6"/>
  <c r="O92" i="6"/>
  <c r="S93" i="6"/>
  <c r="Q85" i="6"/>
  <c r="O89" i="6"/>
  <c r="O85" i="6"/>
  <c r="S94" i="6"/>
  <c r="Q86" i="6"/>
  <c r="O86" i="6"/>
  <c r="O90" i="6"/>
  <c r="M132" i="5"/>
  <c r="E142" i="5" s="1"/>
  <c r="Q37" i="9"/>
  <c r="P45" i="9" s="1"/>
  <c r="J120" i="5"/>
  <c r="Q45" i="9" s="1"/>
  <c r="M22" i="9"/>
  <c r="L30" i="9" s="1"/>
  <c r="J90" i="5"/>
  <c r="M30" i="9" s="1"/>
  <c r="I22" i="9"/>
  <c r="H30" i="9" s="1"/>
  <c r="J84" i="5"/>
  <c r="I30" i="9" s="1"/>
  <c r="E37" i="9"/>
  <c r="D45" i="9" s="1"/>
  <c r="J102" i="5"/>
  <c r="E45" i="9" s="1"/>
  <c r="M37" i="9"/>
  <c r="L45" i="9" s="1"/>
  <c r="J114" i="5"/>
  <c r="M45" i="9" s="1"/>
  <c r="Q22" i="9"/>
  <c r="P30" i="9" s="1"/>
  <c r="J96" i="5"/>
  <c r="Q30" i="9" s="1"/>
  <c r="I37" i="9"/>
  <c r="H45" i="9" s="1"/>
  <c r="J108" i="5"/>
  <c r="I45" i="9" s="1"/>
  <c r="E22" i="9"/>
  <c r="D30" i="9" s="1"/>
  <c r="E125" i="5"/>
  <c r="E71" i="5"/>
  <c r="L29" i="9"/>
  <c r="J25" i="5"/>
  <c r="M29" i="9" s="1"/>
  <c r="H29" i="9"/>
  <c r="J17" i="5"/>
  <c r="P29" i="9"/>
  <c r="J33" i="5"/>
  <c r="Q29" i="9" s="1"/>
  <c r="J78" i="5"/>
  <c r="U84" i="6" l="1"/>
  <c r="T37" i="4" s="1"/>
  <c r="D3" i="4" s="1"/>
  <c r="E135" i="5"/>
  <c r="E139" i="5"/>
  <c r="E140" i="5"/>
  <c r="E147" i="5"/>
  <c r="H47" i="9"/>
  <c r="D47" i="9"/>
  <c r="E136" i="5"/>
  <c r="E132" i="5"/>
  <c r="E144" i="5"/>
  <c r="E143" i="5"/>
  <c r="E137" i="5"/>
  <c r="E141" i="5"/>
  <c r="E145" i="5"/>
  <c r="E133" i="5"/>
  <c r="E146" i="5"/>
  <c r="E134" i="5"/>
  <c r="E138" i="5"/>
  <c r="P32" i="9"/>
  <c r="L32" i="9"/>
  <c r="L47" i="9"/>
  <c r="P47" i="9"/>
  <c r="E30" i="9"/>
  <c r="D32" i="9" s="1"/>
  <c r="J125" i="5"/>
  <c r="G227" i="5" s="1"/>
  <c r="I29" i="9"/>
  <c r="H32" i="9" s="1"/>
  <c r="J71" i="5"/>
  <c r="G226" i="5" s="1"/>
  <c r="D86" i="9" l="1"/>
  <c r="J2" i="9"/>
  <c r="L2" i="5"/>
  <c r="J132" i="5"/>
  <c r="J149" i="5" s="1"/>
  <c r="E149" i="5"/>
  <c r="G6" i="9"/>
  <c r="J6" i="9" s="1"/>
  <c r="C20" i="4"/>
  <c r="G5" i="9"/>
  <c r="G228" i="5" l="1"/>
  <c r="G236" i="5" s="1"/>
  <c r="E86" i="9"/>
  <c r="G7" i="9" s="1"/>
  <c r="G15" i="9" s="1"/>
  <c r="J5" i="9"/>
  <c r="J15" i="9" l="1"/>
  <c r="J7" i="9"/>
</calcChain>
</file>

<file path=xl/sharedStrings.xml><?xml version="1.0" encoding="utf-8"?>
<sst xmlns="http://schemas.openxmlformats.org/spreadsheetml/2006/main" count="1170" uniqueCount="391">
  <si>
    <t>Grupp  A</t>
  </si>
  <si>
    <t>1X2</t>
  </si>
  <si>
    <t>P</t>
  </si>
  <si>
    <t>Resultat</t>
  </si>
  <si>
    <t>plats</t>
  </si>
  <si>
    <t>Totalt</t>
  </si>
  <si>
    <t>Grupp  B</t>
  </si>
  <si>
    <t>Summa</t>
  </si>
  <si>
    <t>Grupp  C</t>
  </si>
  <si>
    <t>Grupp  D</t>
  </si>
  <si>
    <t>Lag</t>
  </si>
  <si>
    <t>Placering</t>
  </si>
  <si>
    <t>Vid frågor ring eller maila Dan eller Niklas på:</t>
  </si>
  <si>
    <t>-</t>
  </si>
  <si>
    <t>Här kan du föra in resultaten i turneringen så kommer din namnflik att rättas</t>
  </si>
  <si>
    <t>*</t>
  </si>
  <si>
    <t>Bonus  (30 / 50 poäng)</t>
  </si>
  <si>
    <t>Grupp  E</t>
  </si>
  <si>
    <t>Grupp  F</t>
  </si>
  <si>
    <t>Grupp E</t>
  </si>
  <si>
    <t>Kroatien</t>
  </si>
  <si>
    <t>Spanien</t>
  </si>
  <si>
    <t>England</t>
  </si>
  <si>
    <t>Schweiz</t>
  </si>
  <si>
    <t>Frankrike</t>
  </si>
  <si>
    <t>Tyskland</t>
  </si>
  <si>
    <t>Portugal</t>
  </si>
  <si>
    <t>Belgien</t>
  </si>
  <si>
    <t>Ryssland</t>
  </si>
  <si>
    <t>Grupp F</t>
  </si>
  <si>
    <t>Notera att vi följer officiella regler vilket innebär att om två eller flera spelare gör lika många mål vinner den som spelat minst antal minuter</t>
  </si>
  <si>
    <t>Dan, 072 301 80 23, danspinelli@hotmail.com</t>
  </si>
  <si>
    <t>Du kan även använda rättningsfliken för att själv hålla koll på dina poäng</t>
  </si>
  <si>
    <r>
      <rPr>
        <b/>
        <sz val="8"/>
        <color theme="1"/>
        <rFont val="Arial"/>
        <family val="2"/>
      </rPr>
      <t>Bankkonto:</t>
    </r>
    <r>
      <rPr>
        <sz val="8"/>
        <color theme="1"/>
        <rFont val="Arial"/>
        <family val="2"/>
      </rPr>
      <t xml:space="preserve"> Handelsbanken, clearing: 6138 konto: 642 445 648</t>
    </r>
  </si>
  <si>
    <t>Full anmälan sker när ifyllt dokument är skickat och inbetalningen är registererad</t>
  </si>
  <si>
    <t>Plats</t>
  </si>
  <si>
    <t>Premie</t>
  </si>
  <si>
    <t>Vinstfördelning</t>
  </si>
  <si>
    <t>Vinstfördelning = Prisplats (%) * Antal deltagare (#) * 200 (kr)</t>
  </si>
  <si>
    <t>Spelare</t>
  </si>
  <si>
    <t>Polen</t>
  </si>
  <si>
    <t>Sverige</t>
  </si>
  <si>
    <t>Island</t>
  </si>
  <si>
    <t>För spelsschema se:</t>
  </si>
  <si>
    <t>A1</t>
  </si>
  <si>
    <t>A2</t>
  </si>
  <si>
    <t>A3</t>
  </si>
  <si>
    <t>A4</t>
  </si>
  <si>
    <t>A3-A4</t>
  </si>
  <si>
    <t>B3-B4</t>
  </si>
  <si>
    <t>B1-B2</t>
  </si>
  <si>
    <t>C1-C2</t>
  </si>
  <si>
    <t>D1-D2</t>
  </si>
  <si>
    <t>C3-C4</t>
  </si>
  <si>
    <t>D3-D4</t>
  </si>
  <si>
    <t>E3-E4</t>
  </si>
  <si>
    <t>F1-F2</t>
  </si>
  <si>
    <t>E1-E2</t>
  </si>
  <si>
    <t>F3-F4</t>
  </si>
  <si>
    <t>G1-G2</t>
  </si>
  <si>
    <t>G3-G4</t>
  </si>
  <si>
    <t>H1-H2</t>
  </si>
  <si>
    <t>H3-H4</t>
  </si>
  <si>
    <t>B1-B3</t>
  </si>
  <si>
    <t>A4-A2</t>
  </si>
  <si>
    <t>B4-B2</t>
  </si>
  <si>
    <t>C1-C3</t>
  </si>
  <si>
    <t>C4-C2</t>
  </si>
  <si>
    <t>D1-D3</t>
  </si>
  <si>
    <t>E1-E3</t>
  </si>
  <si>
    <t>D4-D2</t>
  </si>
  <si>
    <t>E4-E2</t>
  </si>
  <si>
    <t>G1-G3</t>
  </si>
  <si>
    <t>F1-F3</t>
  </si>
  <si>
    <t>F4-F2</t>
  </si>
  <si>
    <t>G4-G2</t>
  </si>
  <si>
    <t>A2-A3</t>
  </si>
  <si>
    <t>B2-B3</t>
  </si>
  <si>
    <t>B4-B1</t>
  </si>
  <si>
    <t>C4-C1</t>
  </si>
  <si>
    <t>C2-C3</t>
  </si>
  <si>
    <t>D2-D3</t>
  </si>
  <si>
    <t>D4-D1</t>
  </si>
  <si>
    <t>F4-F1</t>
  </si>
  <si>
    <t>F2-F3</t>
  </si>
  <si>
    <t>E4-E1</t>
  </si>
  <si>
    <t>E2-E3</t>
  </si>
  <si>
    <t>H4-H1</t>
  </si>
  <si>
    <t>H2-H3</t>
  </si>
  <si>
    <t>G4-G1</t>
  </si>
  <si>
    <t>G2-G3</t>
  </si>
  <si>
    <t>Vinnare grupp C-Tvåa grupp D</t>
  </si>
  <si>
    <t>Vinnare grupp A-Tvåa grupp B</t>
  </si>
  <si>
    <t>Vinnare grupp B-Tvåa grupp A</t>
  </si>
  <si>
    <t>Vinnare grupp D-Tvåa grupp C</t>
  </si>
  <si>
    <t>Vinnare grupp E-Tvåa grupp F</t>
  </si>
  <si>
    <t>Vinnare grupp G-Tvåa grupp H</t>
  </si>
  <si>
    <t>Vinnare grupp F-Tvåa grupp E</t>
  </si>
  <si>
    <t>Vinnare grupp H-Tvåa grupp G</t>
  </si>
  <si>
    <t>Kvartsfinal 1</t>
  </si>
  <si>
    <t>Kvartsfinal 2</t>
  </si>
  <si>
    <t>Kvartsfinal 3</t>
  </si>
  <si>
    <t>Kvartsfinal 4</t>
  </si>
  <si>
    <t>Semifinal 1</t>
  </si>
  <si>
    <t>Semifinal 2</t>
  </si>
  <si>
    <t>Bronsmatch</t>
  </si>
  <si>
    <t>Final</t>
  </si>
  <si>
    <t>A1-A3</t>
  </si>
  <si>
    <t>A4-A1</t>
  </si>
  <si>
    <t>A1-A2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</si>
  <si>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</si>
  <si>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</si>
  <si>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</si>
  <si>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</si>
  <si>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</si>
  <si>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</si>
  <si>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</si>
  <si>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</si>
  <si>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</si>
  <si>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</si>
  <si>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</si>
  <si>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</si>
  <si>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E1</t>
  </si>
  <si>
    <t>E2</t>
  </si>
  <si>
    <t>E3</t>
  </si>
  <si>
    <t>E4</t>
  </si>
  <si>
    <t>F1</t>
  </si>
  <si>
    <t>F2</t>
  </si>
  <si>
    <t>F3</t>
  </si>
  <si>
    <t>F4</t>
  </si>
  <si>
    <t>G1</t>
  </si>
  <si>
    <t>G2</t>
  </si>
  <si>
    <t>G3</t>
  </si>
  <si>
    <t>G4</t>
  </si>
  <si>
    <t>H1</t>
  </si>
  <si>
    <t>H2</t>
  </si>
  <si>
    <t>H3</t>
  </si>
  <si>
    <t>H4</t>
  </si>
  <si>
    <t>Fyll u grupperna</t>
  </si>
  <si>
    <t>1C</t>
  </si>
  <si>
    <t>2D</t>
  </si>
  <si>
    <t>1A</t>
  </si>
  <si>
    <t>2B</t>
  </si>
  <si>
    <t>1B</t>
  </si>
  <si>
    <t>2A</t>
  </si>
  <si>
    <t>1D</t>
  </si>
  <si>
    <t>2C</t>
  </si>
  <si>
    <t>1E</t>
  </si>
  <si>
    <t>1G</t>
  </si>
  <si>
    <t>1H</t>
  </si>
  <si>
    <t>2F</t>
  </si>
  <si>
    <t>2H</t>
  </si>
  <si>
    <t>2E</t>
  </si>
  <si>
    <t>2G</t>
  </si>
  <si>
    <t>A5</t>
  </si>
  <si>
    <t>A6</t>
  </si>
  <si>
    <t>Grupp G</t>
  </si>
  <si>
    <t>Grupp  H</t>
  </si>
  <si>
    <t>B5</t>
  </si>
  <si>
    <t>B6</t>
  </si>
  <si>
    <t>C5</t>
  </si>
  <si>
    <t>C6</t>
  </si>
  <si>
    <t>E5</t>
  </si>
  <si>
    <t>E6</t>
  </si>
  <si>
    <t>D5</t>
  </si>
  <si>
    <t>D6</t>
  </si>
  <si>
    <t>F5</t>
  </si>
  <si>
    <t>F6</t>
  </si>
  <si>
    <t>G5</t>
  </si>
  <si>
    <t>G6</t>
  </si>
  <si>
    <t>H5</t>
  </si>
  <si>
    <t>H6</t>
  </si>
  <si>
    <t>Brasilien</t>
  </si>
  <si>
    <t>Argentina</t>
  </si>
  <si>
    <t>Nigeria</t>
  </si>
  <si>
    <t>Japan</t>
  </si>
  <si>
    <t>Colombia</t>
  </si>
  <si>
    <t>Datum</t>
  </si>
  <si>
    <t>Tid</t>
  </si>
  <si>
    <t>Spelschema</t>
  </si>
  <si>
    <t xml:space="preserve">                         Resultat</t>
  </si>
  <si>
    <t>Poäng</t>
  </si>
  <si>
    <t>+- mål</t>
  </si>
  <si>
    <t>Ranking 1</t>
  </si>
  <si>
    <t>1. Poängen i alla gruppmatcher, med 3 poäng vid vinst, 1 poäng vid oavgjort och 0 poäng vid förlust.</t>
  </si>
  <si>
    <t>2. Målskillnad i alla gruppmatcher</t>
  </si>
  <si>
    <t>3. Gjorda mål i alla gruppmatcher</t>
  </si>
  <si>
    <t>4. Poäng i matcherna mellan likaplacerade lag</t>
  </si>
  <si>
    <t>5. Målskillnad i matcherna mellan likaplacerade lag</t>
  </si>
  <si>
    <t>6. Gjorda mål i matcherna mellan likaplacerade lag</t>
  </si>
  <si>
    <t>7. Fair play-poäng</t>
  </si>
  <si>
    <t>8. Lottdragning</t>
  </si>
  <si>
    <t>Ranking 2</t>
  </si>
  <si>
    <t>Ranking 3</t>
  </si>
  <si>
    <t>+ mål</t>
  </si>
  <si>
    <t>- mål</t>
  </si>
  <si>
    <t>Slutrank</t>
  </si>
  <si>
    <t xml:space="preserve">Poäng </t>
  </si>
  <si>
    <t>Ranking random</t>
  </si>
  <si>
    <t>Saudiarabien</t>
  </si>
  <si>
    <t>Egypten</t>
  </si>
  <si>
    <t>Uruguay</t>
  </si>
  <si>
    <t>Iran</t>
  </si>
  <si>
    <t>Marocko</t>
  </si>
  <si>
    <t>Australien</t>
  </si>
  <si>
    <t>Danmark</t>
  </si>
  <si>
    <t>Peru</t>
  </si>
  <si>
    <t>Serbien</t>
  </si>
  <si>
    <t>Mexiko</t>
  </si>
  <si>
    <t>Sydkorea</t>
  </si>
  <si>
    <t>Panama</t>
  </si>
  <si>
    <t>Tunisien</t>
  </si>
  <si>
    <t>Senegal</t>
  </si>
  <si>
    <t>Grupp  G</t>
  </si>
  <si>
    <t>Hur bör man ranka lagen</t>
  </si>
  <si>
    <t>Vad gör vi?</t>
  </si>
  <si>
    <t>OK</t>
  </si>
  <si>
    <t>Random härifrån och ned</t>
  </si>
  <si>
    <t>EJ OK</t>
  </si>
  <si>
    <t xml:space="preserve">Plac. </t>
  </si>
  <si>
    <t>Korrekt angivet (får ej vara dubbletter)</t>
  </si>
  <si>
    <t>Kontroll</t>
  </si>
  <si>
    <t>Plac</t>
  </si>
  <si>
    <t>Kod</t>
  </si>
  <si>
    <t>Tabeller</t>
  </si>
  <si>
    <t>Åttondelsfinal 1</t>
  </si>
  <si>
    <t>Åttondelsfinal 2</t>
  </si>
  <si>
    <t>Åttondelsfinal 3</t>
  </si>
  <si>
    <t>Åttondelsfinal 4</t>
  </si>
  <si>
    <t>Åttondelsfinal 5</t>
  </si>
  <si>
    <t>Åttondelsfinal 6</t>
  </si>
  <si>
    <t>Åttondelsfinal 7</t>
  </si>
  <si>
    <t>Åttondelsfinal 8</t>
  </si>
  <si>
    <t>1F</t>
  </si>
  <si>
    <t>vs.</t>
  </si>
  <si>
    <t>Åttondelsfinaler</t>
  </si>
  <si>
    <t>Kvartsfinaler</t>
  </si>
  <si>
    <t>Semifinaler</t>
  </si>
  <si>
    <t>Segrare Final</t>
  </si>
  <si>
    <t>Segrare Bronsmatch</t>
  </si>
  <si>
    <t>Finaler</t>
  </si>
  <si>
    <t>1.  Tippa gruppspelet</t>
  </si>
  <si>
    <t>2.  Tippa slutspelet</t>
  </si>
  <si>
    <t>3. Tippa turneringens första målskytt  (ange enbart efternamn och stava rätt om du vill få poäng)</t>
  </si>
  <si>
    <t>4. Tippa vilket lag som får turneringens första röda kort</t>
  </si>
  <si>
    <t>5. Tippa vilket lag som får turneringens första straff</t>
  </si>
  <si>
    <t>Ändra placering</t>
  </si>
  <si>
    <t>Slut</t>
  </si>
  <si>
    <t>http://www.vm-fotboll.se/</t>
  </si>
  <si>
    <t>Grupp H</t>
  </si>
  <si>
    <t>Lag i bokstavsordning</t>
  </si>
  <si>
    <t>6. Tippa topp 3 placeringar i skytteliga (ange enbart efternamn och stava rätt om du vill få poäng)</t>
  </si>
  <si>
    <t>A.  Ange resultat i gruppspel</t>
  </si>
  <si>
    <t>B.   Ange placeringarna 1-4  i grupperna.</t>
  </si>
  <si>
    <t>CostaRica</t>
  </si>
  <si>
    <t>1,X,2 Poäng</t>
  </si>
  <si>
    <t>Resultat poäng</t>
  </si>
  <si>
    <t>Grupp poäng</t>
  </si>
  <si>
    <t>Kvartsfinal poäng</t>
  </si>
  <si>
    <t>Semifinal poäng</t>
  </si>
  <si>
    <t>Placeringspoäng</t>
  </si>
  <si>
    <t>Skytteligapoäng</t>
  </si>
  <si>
    <t>Målskytt poäng</t>
  </si>
  <si>
    <t>Röda kort poäng</t>
  </si>
  <si>
    <t>Straff poäng</t>
  </si>
  <si>
    <t>Bonus</t>
  </si>
  <si>
    <t>Lag i kvartsfinal</t>
  </si>
  <si>
    <t>Lag i semifinal</t>
  </si>
  <si>
    <t>Lag i åttondel</t>
  </si>
  <si>
    <t>Placeringar</t>
  </si>
  <si>
    <t>Gruppspelet</t>
  </si>
  <si>
    <t>Ditt tips</t>
  </si>
  <si>
    <t>Land</t>
  </si>
  <si>
    <t>1,X,2</t>
  </si>
  <si>
    <t>Placeringsbonus</t>
  </si>
  <si>
    <t>Totalt Grupp A</t>
  </si>
  <si>
    <t>Grupp A</t>
  </si>
  <si>
    <t>Grupp B</t>
  </si>
  <si>
    <t>Totalt Grupp B</t>
  </si>
  <si>
    <t>Grupp C</t>
  </si>
  <si>
    <t>Totalt Grupp C</t>
  </si>
  <si>
    <t>Grupp D</t>
  </si>
  <si>
    <t>Totalt Grupp D</t>
  </si>
  <si>
    <t>Totalt Grupp E</t>
  </si>
  <si>
    <t>Totalt Grupp F</t>
  </si>
  <si>
    <t>Totalt Grupp G</t>
  </si>
  <si>
    <t>Totalt Grupp H</t>
  </si>
  <si>
    <t>Slutspelet - Ditt tips</t>
  </si>
  <si>
    <t>Dina poäng</t>
  </si>
  <si>
    <t>Rättning</t>
  </si>
  <si>
    <t>(10p för rätt tecken + bonus 30p vid alla rätt, och 5p för rätt resultat + bonus 50p vid alla rätt.)</t>
  </si>
  <si>
    <t>(10p för rätt placering + 20p i bonus vid alla 4 placeringar rätt.)</t>
  </si>
  <si>
    <t>(20p för varje rätt lag + 50p i bonus vid alla 8 lagen rätt.)</t>
  </si>
  <si>
    <t>(20p för varje rätt lag + 50p i bonus vid alla 4 lagen rätt.)</t>
  </si>
  <si>
    <t>(20p för rätt lag som går vidare från semifinal, 50p för rätt lag på rätt plats + 100p i bonus vid rätt placering på samtliga lag placering 1-4)</t>
  </si>
  <si>
    <t>(30p för rätt spelare på rätt plats. 10p för spelare inom topp 3)</t>
  </si>
  <si>
    <t>(30p för rätt spelare)</t>
  </si>
  <si>
    <t>(20p för rätt lag)</t>
  </si>
  <si>
    <t>Check</t>
  </si>
  <si>
    <t>Sammanställning</t>
  </si>
  <si>
    <t>Moment</t>
  </si>
  <si>
    <t>TOTALT</t>
  </si>
  <si>
    <t>C.  Lag som kom till åttondelsfinalerna</t>
  </si>
  <si>
    <t>(5p för varje rätt lag + 100p i bonus vid alla 16 lagen rätt.)</t>
  </si>
  <si>
    <t>Rätt lag</t>
  </si>
  <si>
    <t>Åttonedel poäng</t>
  </si>
  <si>
    <t>D.  Ange vilka lag som kom till kvartsfinalerna</t>
  </si>
  <si>
    <t>E.  Ange vilka lag som kom till semifinalerna</t>
  </si>
  <si>
    <t>F.  Ange placeringar</t>
  </si>
  <si>
    <t>G. Ange topp 3 skytteliga</t>
  </si>
  <si>
    <t>H. Ange turneringens första målskytt</t>
  </si>
  <si>
    <t>I. Ange vilket lag som fick turneringens första röda kort</t>
  </si>
  <si>
    <t>J. Ange vilket lag som fick turneringens första straff</t>
  </si>
  <si>
    <t>A: Match och resultat</t>
  </si>
  <si>
    <t>B: Placeringar i gruppen</t>
  </si>
  <si>
    <t>D: Lag i kvartsfinal</t>
  </si>
  <si>
    <t>C: Lag till åttondelsfinal</t>
  </si>
  <si>
    <t>E: Lag i semifinal</t>
  </si>
  <si>
    <t>F: Placeringar 1-4</t>
  </si>
  <si>
    <t>G: Top 3 skytteliga</t>
  </si>
  <si>
    <t>H: Första målskytt</t>
  </si>
  <si>
    <t>I: Lag som får första röda kort</t>
  </si>
  <si>
    <t>J: Lag som gör första målet</t>
  </si>
  <si>
    <t>Åttondel</t>
  </si>
  <si>
    <t>Kvartsfinal</t>
  </si>
  <si>
    <t>Semifinal</t>
  </si>
  <si>
    <t>Slutspelet</t>
  </si>
  <si>
    <t>Målskyttar</t>
  </si>
  <si>
    <t>&lt;&lt; Skytteliga</t>
  </si>
  <si>
    <t>&lt;&lt; 1:a Skytteliga</t>
  </si>
  <si>
    <t>&lt;&lt; Första målskytt</t>
  </si>
  <si>
    <t>Röda kortet</t>
  </si>
  <si>
    <t>Straffen</t>
  </si>
  <si>
    <t>Korrekt angivet (kontrollerar att slutspelsträdet är uppdaterat)</t>
  </si>
  <si>
    <t>4. Poäng i matcherna mellan likaplacerade lag - EJ BEAKTAT</t>
  </si>
  <si>
    <t>5. Målskillnad i matcherna mellan likaplacerade lag - EJ BEAKTAT</t>
  </si>
  <si>
    <t>6. Gjorda mål i matcherna mellan likaplacerade lag - EJ BEAKTAT</t>
  </si>
  <si>
    <t>7. Fair play-poäng - EJ BEAKTAT</t>
  </si>
  <si>
    <t>8. Lottdragning - EJ BEAKTAT</t>
  </si>
  <si>
    <r>
      <rPr>
        <b/>
        <sz val="8"/>
        <color theme="1"/>
        <rFont val="Arial"/>
        <family val="2"/>
      </rPr>
      <t xml:space="preserve">Swish: </t>
    </r>
    <r>
      <rPr>
        <sz val="8"/>
        <color theme="1"/>
        <rFont val="Arial"/>
        <family val="2"/>
      </rPr>
      <t>072-301 80 23</t>
    </r>
  </si>
  <si>
    <t># Rätt</t>
  </si>
  <si>
    <t xml:space="preserve">            Resultat</t>
  </si>
  <si>
    <t>Niklas , 073 628 28 94, niklas.zanderholm@gmail.com</t>
  </si>
  <si>
    <t>Qatar</t>
  </si>
  <si>
    <t>Ecuador</t>
  </si>
  <si>
    <t>Nederländerna</t>
  </si>
  <si>
    <t>USA</t>
  </si>
  <si>
    <t>Wales</t>
  </si>
  <si>
    <t>Costa Rica</t>
  </si>
  <si>
    <t>Kanada</t>
  </si>
  <si>
    <t>Kamerun</t>
  </si>
  <si>
    <t>Ghana</t>
  </si>
  <si>
    <t>Sön 20/11</t>
  </si>
  <si>
    <t>Mån 21/11</t>
  </si>
  <si>
    <t>Tis 22/11</t>
  </si>
  <si>
    <t>Ons 23/11</t>
  </si>
  <si>
    <t>Tor 24/11</t>
  </si>
  <si>
    <t>Fre 25/11</t>
  </si>
  <si>
    <t>Lör 26/11</t>
  </si>
  <si>
    <t>Sön 27/11</t>
  </si>
  <si>
    <t>H1-H3</t>
  </si>
  <si>
    <t>H4-H2</t>
  </si>
  <si>
    <t>Mån 28/11</t>
  </si>
  <si>
    <t>Tis 29/11</t>
  </si>
  <si>
    <t>Ons 30/11</t>
  </si>
  <si>
    <t>Tor 1/12</t>
  </si>
  <si>
    <t>Fre 2/12</t>
  </si>
  <si>
    <t>Lör 3/12</t>
  </si>
  <si>
    <t>Sön 4/12</t>
  </si>
  <si>
    <t>Mån 5/12</t>
  </si>
  <si>
    <t>Tis 6/12</t>
  </si>
  <si>
    <t>Fre 9/12</t>
  </si>
  <si>
    <t>Lör 10/12</t>
  </si>
  <si>
    <t>Tis 13/12</t>
  </si>
  <si>
    <t>Ons 14/12</t>
  </si>
  <si>
    <t>Lör 17/12</t>
  </si>
  <si>
    <t>Sön 18/12</t>
  </si>
  <si>
    <t>VM-Tips Qatar 2022</t>
  </si>
  <si>
    <t>SISTA DAG FÖR INLÄMNING 19 NOVEMBER kl 23:59</t>
  </si>
  <si>
    <t>Notera att det är första målet som görs i VM och inte det snabbaste målet som räknas (Qatar - Ecuador är första matchen som spelas)</t>
  </si>
  <si>
    <t>Notera att det är första röda kortet i VM och inte det snabbaste röda kortet som räknas (Qatar - Ecuador är första matchen som spelas)</t>
  </si>
  <si>
    <t>Notera att det är första straffen som döms i VM och inte den snabbaste straffen som räknas (Qatar - Ecuador är första matchen som spelas)</t>
  </si>
  <si>
    <t>Notera: 30 kr avser administrationsavgift</t>
  </si>
  <si>
    <r>
      <t>Insats 230 kr</t>
    </r>
    <r>
      <rPr>
        <sz val="8"/>
        <color theme="1"/>
        <rFont val="Arial"/>
        <family val="2"/>
      </rPr>
      <t>: Betalas till Dan Spinelli Scala via alternativ:</t>
    </r>
  </si>
  <si>
    <t>Gå gärna med i vår facebookgrupp för att kanske ta del av löpande resultat:</t>
  </si>
  <si>
    <t>Facebookgrupp: VM-Tips 2022 - Med dromedar till Qatar?</t>
  </si>
  <si>
    <t>Mitt Namn: Jonathan Behr Mattsson</t>
  </si>
  <si>
    <t>Mbappé</t>
  </si>
  <si>
    <t>Messi</t>
  </si>
  <si>
    <t>Kane</t>
  </si>
  <si>
    <t>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</si>
</sst>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_k_r_-;\-* #,##0.00\ _k_r_-;_-* &quot;-&quot;??\ _k_r_-;_-@_-"/>
    <numFmt numFmtId="165" formatCode="#,##0_ ;[Red]\-#,##0\ "/>
    <numFmt numFmtId="166" formatCode="#,##0.0_ ;[Red]\-#,##0.0\ "/>
    <numFmt numFmtId="167" formatCode="#,##0.00_ ;[Red]\-#,##0.00\ "/>
    <numFmt numFmtId="168" formatCode="#,##0.000_ ;[Red]\-#,##0.000\ "/>
    <numFmt numFmtId="169" formatCode="[Red]&quot;FEL&quot;;[Red]&quot;FEL&quot;;&quot;OK&quot;"/>
    <numFmt numFmtId="170" formatCode="[Red]&quot;FEL&quot;;[Red]&quot;FEL&quot;;[Green]&quot;OK&quot;"/>
    <numFmt numFmtId="171" formatCode="0;;&quot;&quot;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name val="MS Sans Serif"/>
      <family val="2"/>
    </font>
    <font>
      <i/>
      <sz val="8"/>
      <name val="Arial"/>
      <family val="2"/>
    </font>
    <font>
      <sz val="8"/>
      <name val="MS Sans Serif"/>
      <family val="2"/>
    </font>
    <font>
      <b/>
      <sz val="8"/>
      <name val="Calibri"/>
      <family val="2"/>
    </font>
    <font>
      <b/>
      <i/>
      <sz val="8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b/>
      <i/>
      <sz val="8"/>
      <color theme="1"/>
      <name val="Arial"/>
      <family val="2"/>
    </font>
    <font>
      <i/>
      <sz val="8"/>
      <color theme="1"/>
      <name val="Arial"/>
      <family val="2"/>
    </font>
    <font>
      <u/>
      <sz val="10"/>
      <color indexed="12"/>
      <name val="Arial"/>
      <family val="2"/>
    </font>
    <font>
      <u/>
      <sz val="8"/>
      <name val="Arial"/>
      <family val="2"/>
    </font>
    <font>
      <sz val="10"/>
      <name val="Arial"/>
      <family val="2"/>
    </font>
    <font>
      <sz val="10"/>
      <color rgb="FF44444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8"/>
      <color theme="0"/>
      <name val="Arial"/>
      <family val="2"/>
    </font>
    <font>
      <sz val="16"/>
      <name val="Arial"/>
      <family val="2"/>
    </font>
    <font>
      <b/>
      <sz val="10"/>
      <color rgb="FF0000FF"/>
      <name val="Arial"/>
      <family val="2"/>
    </font>
    <font>
      <sz val="14"/>
      <color rgb="FF222222"/>
      <name val="Arial"/>
      <family val="2"/>
    </font>
    <font>
      <b/>
      <sz val="10"/>
      <color theme="0" tint="-0.499984740745262"/>
      <name val="Arial"/>
      <family val="2"/>
    </font>
    <font>
      <b/>
      <sz val="12"/>
      <color rgb="FF00B050"/>
      <name val="Arial"/>
      <family val="2"/>
    </font>
    <font>
      <b/>
      <sz val="10"/>
      <color theme="0"/>
      <name val="Arial"/>
      <family val="2"/>
    </font>
    <font>
      <i/>
      <u/>
      <sz val="8"/>
      <name val="Arial"/>
      <family val="2"/>
    </font>
    <font>
      <b/>
      <sz val="8"/>
      <color theme="4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4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thin">
        <color indexed="64"/>
      </bottom>
      <diagonal/>
    </border>
    <border>
      <left/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thin">
        <color indexed="64"/>
      </top>
      <bottom/>
      <diagonal/>
    </border>
    <border>
      <left/>
      <right style="medium">
        <color theme="0"/>
      </right>
      <top style="thin">
        <color indexed="64"/>
      </top>
      <bottom/>
      <diagonal/>
    </border>
    <border>
      <left style="medium">
        <color theme="0"/>
      </left>
      <right/>
      <top style="dashed">
        <color indexed="64"/>
      </top>
      <bottom style="dashed">
        <color indexed="64"/>
      </bottom>
      <diagonal/>
    </border>
    <border>
      <left style="medium">
        <color theme="0"/>
      </left>
      <right/>
      <top/>
      <bottom style="dashed">
        <color indexed="64"/>
      </bottom>
      <diagonal/>
    </border>
    <border>
      <left style="medium">
        <color theme="0"/>
      </left>
      <right/>
      <top style="dash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ashed">
        <color indexed="64"/>
      </top>
      <bottom style="thin">
        <color indexed="64"/>
      </bottom>
      <diagonal/>
    </border>
    <border>
      <left style="dotted">
        <color indexed="64"/>
      </left>
      <right/>
      <top style="dashed">
        <color indexed="64"/>
      </top>
      <bottom style="thin">
        <color indexed="64"/>
      </bottom>
      <diagonal/>
    </border>
    <border>
      <left style="medium">
        <color theme="0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 style="thin">
        <color indexed="64"/>
      </right>
      <top/>
      <bottom/>
      <diagonal/>
    </border>
    <border>
      <left style="medium">
        <color theme="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theme="0" tint="-0.34998626667073579"/>
      </left>
      <right style="dotted">
        <color indexed="64"/>
      </right>
      <top style="medium">
        <color theme="0" tint="-0.34998626667073579"/>
      </top>
      <bottom style="dotted">
        <color indexed="64"/>
      </bottom>
      <diagonal/>
    </border>
    <border>
      <left style="dotted">
        <color indexed="64"/>
      </left>
      <right style="medium">
        <color theme="0" tint="-0.34998626667073579"/>
      </right>
      <top style="medium">
        <color theme="0" tint="-0.34998626667073579"/>
      </top>
      <bottom style="dotted">
        <color indexed="64"/>
      </bottom>
      <diagonal/>
    </border>
    <border>
      <left style="medium">
        <color theme="0" tint="-0.34998626667073579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theme="0" tint="-0.34998626667073579"/>
      </right>
      <top style="dotted">
        <color indexed="64"/>
      </top>
      <bottom style="dotted">
        <color indexed="64"/>
      </bottom>
      <diagonal/>
    </border>
    <border>
      <left style="medium">
        <color theme="0" tint="-0.34998626667073579"/>
      </left>
      <right style="dotted">
        <color indexed="64"/>
      </right>
      <top style="dotted">
        <color indexed="64"/>
      </top>
      <bottom style="medium">
        <color theme="0" tint="-0.34998626667073579"/>
      </bottom>
      <diagonal/>
    </border>
    <border>
      <left style="dotted">
        <color indexed="64"/>
      </left>
      <right style="medium">
        <color theme="0" tint="-0.34998626667073579"/>
      </right>
      <top style="dotted">
        <color indexed="64"/>
      </top>
      <bottom style="medium">
        <color theme="0" tint="-0.34998626667073579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medium">
        <color theme="0" tint="-0.34998626667073579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theme="0" tint="-0.34998626667073579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theme="0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dotted">
        <color indexed="64"/>
      </left>
      <right/>
      <top/>
      <bottom/>
      <diagonal/>
    </border>
    <border>
      <left style="medium">
        <color theme="0" tint="-0.499984740745262"/>
      </left>
      <right style="dotted">
        <color indexed="64"/>
      </right>
      <top style="medium">
        <color theme="0" tint="-0.499984740745262"/>
      </top>
      <bottom style="dotted">
        <color indexed="64"/>
      </bottom>
      <diagonal/>
    </border>
    <border>
      <left style="dotted">
        <color indexed="64"/>
      </left>
      <right style="medium">
        <color theme="0" tint="-0.499984740745262"/>
      </right>
      <top style="medium">
        <color theme="0" tint="-0.499984740745262"/>
      </top>
      <bottom style="dotted">
        <color indexed="64"/>
      </bottom>
      <diagonal/>
    </border>
    <border>
      <left style="medium">
        <color theme="0" tint="-0.499984740745262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theme="0" tint="-0.499984740745262"/>
      </right>
      <top style="dotted">
        <color indexed="64"/>
      </top>
      <bottom style="dotted">
        <color indexed="64"/>
      </bottom>
      <diagonal/>
    </border>
    <border>
      <left style="medium">
        <color theme="0" tint="-0.499984740745262"/>
      </left>
      <right style="dotted">
        <color indexed="64"/>
      </right>
      <top style="dotted">
        <color indexed="64"/>
      </top>
      <bottom style="medium">
        <color theme="0" tint="-0.499984740745262"/>
      </bottom>
      <diagonal/>
    </border>
    <border>
      <left style="dotted">
        <color indexed="64"/>
      </left>
      <right style="medium">
        <color theme="0" tint="-0.499984740745262"/>
      </right>
      <top style="dotted">
        <color indexed="64"/>
      </top>
      <bottom style="medium">
        <color theme="0" tint="-0.499984740745262"/>
      </bottom>
      <diagonal/>
    </border>
    <border>
      <left/>
      <right/>
      <top/>
      <bottom style="dotted">
        <color indexed="64"/>
      </bottom>
      <diagonal/>
    </border>
    <border>
      <left style="medium">
        <color theme="0"/>
      </left>
      <right/>
      <top/>
      <bottom style="thin">
        <color theme="0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6">
    <xf numFmtId="0" fontId="0" fillId="0" borderId="0"/>
    <xf numFmtId="9" fontId="15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1" fillId="0" borderId="0"/>
  </cellStyleXfs>
  <cellXfs count="383">
    <xf numFmtId="0" fontId="0" fillId="0" borderId="0" xfId="0"/>
    <xf numFmtId="0" fontId="4" fillId="0" borderId="26" xfId="0" applyFont="1" applyBorder="1"/>
    <xf numFmtId="0" fontId="2" fillId="0" borderId="16" xfId="0" applyFont="1" applyBorder="1"/>
    <xf numFmtId="0" fontId="2" fillId="0" borderId="12" xfId="0" applyFont="1" applyBorder="1"/>
    <xf numFmtId="0" fontId="2" fillId="0" borderId="13" xfId="0" applyFont="1" applyBorder="1"/>
    <xf numFmtId="0" fontId="2" fillId="6" borderId="27" xfId="0" applyFont="1" applyFill="1" applyBorder="1" applyAlignment="1">
      <alignment horizontal="left"/>
    </xf>
    <xf numFmtId="0" fontId="2" fillId="6" borderId="28" xfId="0" applyFont="1" applyFill="1" applyBorder="1" applyAlignment="1">
      <alignment horizontal="left"/>
    </xf>
    <xf numFmtId="0" fontId="2" fillId="6" borderId="29" xfId="0" applyFont="1" applyFill="1" applyBorder="1" applyAlignment="1">
      <alignment horizontal="left"/>
    </xf>
    <xf numFmtId="0" fontId="22" fillId="0" borderId="0" xfId="0" applyFont="1"/>
    <xf numFmtId="0" fontId="21" fillId="11" borderId="34" xfId="0" applyFont="1" applyFill="1" applyBorder="1" applyAlignment="1">
      <alignment vertical="center"/>
    </xf>
    <xf numFmtId="20" fontId="21" fillId="11" borderId="4" xfId="0" applyNumberFormat="1" applyFont="1" applyFill="1" applyBorder="1" applyAlignment="1">
      <alignment vertical="center"/>
    </xf>
    <xf numFmtId="0" fontId="21" fillId="11" borderId="4" xfId="0" applyFont="1" applyFill="1" applyBorder="1" applyAlignment="1">
      <alignment vertical="center"/>
    </xf>
    <xf numFmtId="0" fontId="21" fillId="11" borderId="30" xfId="0" applyFont="1" applyFill="1" applyBorder="1" applyAlignment="1">
      <alignment vertical="center"/>
    </xf>
    <xf numFmtId="0" fontId="0" fillId="0" borderId="39" xfId="0" applyBorder="1"/>
    <xf numFmtId="0" fontId="21" fillId="10" borderId="35" xfId="0" applyFont="1" applyFill="1" applyBorder="1" applyAlignment="1">
      <alignment vertical="center"/>
    </xf>
    <xf numFmtId="20" fontId="21" fillId="10" borderId="0" xfId="0" applyNumberFormat="1" applyFont="1" applyFill="1" applyAlignment="1">
      <alignment vertical="center"/>
    </xf>
    <xf numFmtId="0" fontId="21" fillId="10" borderId="0" xfId="0" applyFont="1" applyFill="1" applyAlignment="1">
      <alignment vertical="center"/>
    </xf>
    <xf numFmtId="0" fontId="21" fillId="10" borderId="31" xfId="0" applyFont="1" applyFill="1" applyBorder="1" applyAlignment="1">
      <alignment vertical="center"/>
    </xf>
    <xf numFmtId="0" fontId="0" fillId="0" borderId="40" xfId="0" applyBorder="1"/>
    <xf numFmtId="0" fontId="21" fillId="11" borderId="35" xfId="0" applyFont="1" applyFill="1" applyBorder="1" applyAlignment="1">
      <alignment vertical="center"/>
    </xf>
    <xf numFmtId="20" fontId="21" fillId="11" borderId="0" xfId="0" applyNumberFormat="1" applyFont="1" applyFill="1" applyAlignment="1">
      <alignment vertical="center"/>
    </xf>
    <xf numFmtId="0" fontId="21" fillId="11" borderId="0" xfId="0" applyFont="1" applyFill="1" applyAlignment="1">
      <alignment vertical="center"/>
    </xf>
    <xf numFmtId="0" fontId="21" fillId="11" borderId="31" xfId="0" applyFont="1" applyFill="1" applyBorder="1" applyAlignment="1">
      <alignment vertical="center"/>
    </xf>
    <xf numFmtId="0" fontId="0" fillId="0" borderId="41" xfId="0" applyBorder="1"/>
    <xf numFmtId="0" fontId="21" fillId="11" borderId="36" xfId="0" applyFont="1" applyFill="1" applyBorder="1" applyAlignment="1">
      <alignment vertical="center"/>
    </xf>
    <xf numFmtId="20" fontId="21" fillId="11" borderId="32" xfId="0" applyNumberFormat="1" applyFont="1" applyFill="1" applyBorder="1" applyAlignment="1">
      <alignment vertical="center"/>
    </xf>
    <xf numFmtId="0" fontId="21" fillId="11" borderId="32" xfId="0" applyFont="1" applyFill="1" applyBorder="1" applyAlignment="1">
      <alignment vertical="center"/>
    </xf>
    <xf numFmtId="0" fontId="21" fillId="11" borderId="33" xfId="0" applyFont="1" applyFill="1" applyBorder="1" applyAlignment="1">
      <alignment vertical="center"/>
    </xf>
    <xf numFmtId="0" fontId="4" fillId="0" borderId="0" xfId="0" applyFont="1"/>
    <xf numFmtId="0" fontId="22" fillId="0" borderId="0" xfId="0" quotePrefix="1" applyFont="1"/>
    <xf numFmtId="0" fontId="15" fillId="0" borderId="0" xfId="0" applyFont="1"/>
    <xf numFmtId="165" fontId="2" fillId="3" borderId="39" xfId="4" applyNumberFormat="1" applyFont="1" applyFill="1" applyBorder="1" applyAlignment="1" applyProtection="1">
      <alignment horizontal="center"/>
      <protection locked="0"/>
    </xf>
    <xf numFmtId="165" fontId="2" fillId="3" borderId="5" xfId="4" applyNumberFormat="1" applyFont="1" applyFill="1" applyBorder="1" applyAlignment="1" applyProtection="1">
      <alignment horizontal="center"/>
      <protection locked="0"/>
    </xf>
    <xf numFmtId="165" fontId="2" fillId="3" borderId="40" xfId="4" applyNumberFormat="1" applyFont="1" applyFill="1" applyBorder="1" applyAlignment="1" applyProtection="1">
      <alignment horizontal="center"/>
      <protection locked="0"/>
    </xf>
    <xf numFmtId="165" fontId="2" fillId="3" borderId="0" xfId="4" applyNumberFormat="1" applyFont="1" applyFill="1" applyBorder="1" applyAlignment="1" applyProtection="1">
      <alignment horizontal="center"/>
      <protection locked="0"/>
    </xf>
    <xf numFmtId="165" fontId="2" fillId="3" borderId="41" xfId="4" applyNumberFormat="1" applyFont="1" applyFill="1" applyBorder="1" applyAlignment="1" applyProtection="1">
      <alignment horizontal="center"/>
      <protection locked="0"/>
    </xf>
    <xf numFmtId="165" fontId="2" fillId="3" borderId="6" xfId="4" applyNumberFormat="1" applyFont="1" applyFill="1" applyBorder="1" applyAlignment="1" applyProtection="1">
      <alignment horizontal="center"/>
      <protection locked="0"/>
    </xf>
    <xf numFmtId="0" fontId="0" fillId="12" borderId="39" xfId="0" applyFill="1" applyBorder="1"/>
    <xf numFmtId="0" fontId="0" fillId="12" borderId="5" xfId="0" applyFill="1" applyBorder="1"/>
    <xf numFmtId="0" fontId="0" fillId="12" borderId="40" xfId="0" applyFill="1" applyBorder="1"/>
    <xf numFmtId="0" fontId="0" fillId="12" borderId="0" xfId="0" applyFill="1"/>
    <xf numFmtId="0" fontId="0" fillId="12" borderId="41" xfId="0" applyFill="1" applyBorder="1"/>
    <xf numFmtId="0" fontId="0" fillId="12" borderId="6" xfId="0" applyFill="1" applyBorder="1"/>
    <xf numFmtId="0" fontId="0" fillId="13" borderId="5" xfId="0" applyFill="1" applyBorder="1"/>
    <xf numFmtId="0" fontId="0" fillId="13" borderId="0" xfId="0" applyFill="1"/>
    <xf numFmtId="0" fontId="0" fillId="13" borderId="6" xfId="0" applyFill="1" applyBorder="1"/>
    <xf numFmtId="0" fontId="0" fillId="13" borderId="39" xfId="0" applyFill="1" applyBorder="1"/>
    <xf numFmtId="0" fontId="0" fillId="13" borderId="40" xfId="0" applyFill="1" applyBorder="1"/>
    <xf numFmtId="0" fontId="0" fillId="13" borderId="41" xfId="0" applyFill="1" applyBorder="1"/>
    <xf numFmtId="166" fontId="0" fillId="12" borderId="5" xfId="0" applyNumberFormat="1" applyFill="1" applyBorder="1"/>
    <xf numFmtId="166" fontId="0" fillId="12" borderId="0" xfId="0" applyNumberFormat="1" applyFill="1"/>
    <xf numFmtId="166" fontId="0" fillId="12" borderId="6" xfId="0" applyNumberFormat="1" applyFill="1" applyBorder="1"/>
    <xf numFmtId="0" fontId="0" fillId="5" borderId="39" xfId="0" applyFill="1" applyBorder="1"/>
    <xf numFmtId="0" fontId="0" fillId="5" borderId="5" xfId="0" applyFill="1" applyBorder="1"/>
    <xf numFmtId="0" fontId="0" fillId="5" borderId="7" xfId="0" applyFill="1" applyBorder="1"/>
    <xf numFmtId="0" fontId="0" fillId="5" borderId="40" xfId="0" applyFill="1" applyBorder="1"/>
    <xf numFmtId="0" fontId="0" fillId="5" borderId="0" xfId="0" applyFill="1"/>
    <xf numFmtId="0" fontId="0" fillId="5" borderId="42" xfId="0" applyFill="1" applyBorder="1"/>
    <xf numFmtId="0" fontId="0" fillId="5" borderId="41" xfId="0" applyFill="1" applyBorder="1"/>
    <xf numFmtId="0" fontId="0" fillId="5" borderId="6" xfId="0" applyFill="1" applyBorder="1"/>
    <xf numFmtId="0" fontId="0" fillId="5" borderId="43" xfId="0" applyFill="1" applyBorder="1"/>
    <xf numFmtId="165" fontId="0" fillId="5" borderId="5" xfId="0" applyNumberFormat="1" applyFill="1" applyBorder="1"/>
    <xf numFmtId="165" fontId="0" fillId="5" borderId="0" xfId="0" applyNumberFormat="1" applyFill="1"/>
    <xf numFmtId="165" fontId="0" fillId="5" borderId="6" xfId="0" applyNumberFormat="1" applyFill="1" applyBorder="1"/>
    <xf numFmtId="167" fontId="2" fillId="3" borderId="7" xfId="4" applyNumberFormat="1" applyFont="1" applyFill="1" applyBorder="1" applyAlignment="1" applyProtection="1">
      <alignment horizontal="center"/>
      <protection locked="0"/>
    </xf>
    <xf numFmtId="167" fontId="2" fillId="3" borderId="42" xfId="4" applyNumberFormat="1" applyFont="1" applyFill="1" applyBorder="1" applyAlignment="1" applyProtection="1">
      <alignment horizontal="center"/>
      <protection locked="0"/>
    </xf>
    <xf numFmtId="167" fontId="2" fillId="3" borderId="43" xfId="4" applyNumberFormat="1" applyFont="1" applyFill="1" applyBorder="1" applyAlignment="1" applyProtection="1">
      <alignment horizontal="center"/>
      <protection locked="0"/>
    </xf>
    <xf numFmtId="0" fontId="0" fillId="14" borderId="7" xfId="0" applyFill="1" applyBorder="1"/>
    <xf numFmtId="0" fontId="0" fillId="14" borderId="42" xfId="0" applyFill="1" applyBorder="1"/>
    <xf numFmtId="0" fontId="0" fillId="14" borderId="43" xfId="0" applyFill="1" applyBorder="1"/>
    <xf numFmtId="168" fontId="0" fillId="13" borderId="7" xfId="0" applyNumberFormat="1" applyFill="1" applyBorder="1"/>
    <xf numFmtId="168" fontId="0" fillId="13" borderId="42" xfId="0" applyNumberFormat="1" applyFill="1" applyBorder="1"/>
    <xf numFmtId="168" fontId="0" fillId="13" borderId="43" xfId="0" applyNumberFormat="1" applyFill="1" applyBorder="1"/>
    <xf numFmtId="1" fontId="2" fillId="3" borderId="1" xfId="4" applyNumberFormat="1" applyFont="1" applyFill="1" applyBorder="1" applyAlignment="1" applyProtection="1">
      <alignment horizontal="center"/>
      <protection locked="0"/>
    </xf>
    <xf numFmtId="1" fontId="0" fillId="0" borderId="0" xfId="0" applyNumberFormat="1"/>
    <xf numFmtId="1" fontId="22" fillId="0" borderId="0" xfId="0" applyNumberFormat="1" applyFont="1"/>
    <xf numFmtId="1" fontId="2" fillId="0" borderId="1" xfId="0" applyNumberFormat="1" applyFont="1" applyBorder="1" applyAlignment="1" applyProtection="1">
      <alignment horizontal="center"/>
      <protection locked="0"/>
    </xf>
    <xf numFmtId="0" fontId="0" fillId="15" borderId="0" xfId="0" applyFill="1"/>
    <xf numFmtId="0" fontId="0" fillId="4" borderId="0" xfId="0" applyFill="1"/>
    <xf numFmtId="169" fontId="24" fillId="0" borderId="48" xfId="0" applyNumberFormat="1" applyFont="1" applyBorder="1" applyAlignment="1">
      <alignment horizontal="center"/>
    </xf>
    <xf numFmtId="49" fontId="2" fillId="16" borderId="1" xfId="0" applyNumberFormat="1" applyFont="1" applyFill="1" applyBorder="1" applyAlignment="1" applyProtection="1">
      <alignment horizontal="center"/>
      <protection locked="0"/>
    </xf>
    <xf numFmtId="0" fontId="1" fillId="0" borderId="0" xfId="5" applyAlignment="1">
      <alignment horizontal="left" vertical="center" indent="4"/>
    </xf>
    <xf numFmtId="49" fontId="2" fillId="16" borderId="38" xfId="0" applyNumberFormat="1" applyFont="1" applyFill="1" applyBorder="1" applyAlignment="1" applyProtection="1">
      <alignment horizontal="center"/>
      <protection locked="0"/>
    </xf>
    <xf numFmtId="0" fontId="2" fillId="16" borderId="1" xfId="0" applyFont="1" applyFill="1" applyBorder="1" applyAlignment="1" applyProtection="1">
      <alignment horizontal="center"/>
      <protection locked="0"/>
    </xf>
    <xf numFmtId="0" fontId="2" fillId="14" borderId="49" xfId="0" applyFont="1" applyFill="1" applyBorder="1" applyAlignment="1">
      <alignment horizontal="left"/>
    </xf>
    <xf numFmtId="0" fontId="2" fillId="14" borderId="50" xfId="0" applyFont="1" applyFill="1" applyBorder="1" applyAlignment="1">
      <alignment horizontal="left"/>
    </xf>
    <xf numFmtId="0" fontId="2" fillId="14" borderId="38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3" fillId="14" borderId="1" xfId="0" applyFont="1" applyFill="1" applyBorder="1" applyAlignment="1" applyProtection="1">
      <alignment horizontal="center"/>
      <protection locked="0"/>
    </xf>
    <xf numFmtId="0" fontId="3" fillId="14" borderId="0" xfId="0" applyFont="1" applyFill="1" applyAlignment="1">
      <alignment horizontal="left"/>
    </xf>
    <xf numFmtId="49" fontId="3" fillId="14" borderId="1" xfId="0" applyNumberFormat="1" applyFont="1" applyFill="1" applyBorder="1" applyAlignment="1" applyProtection="1">
      <alignment horizontal="center"/>
      <protection locked="0"/>
    </xf>
    <xf numFmtId="0" fontId="2" fillId="14" borderId="1" xfId="0" applyFont="1" applyFill="1" applyBorder="1" applyAlignment="1" applyProtection="1">
      <alignment horizontal="center"/>
      <protection locked="0"/>
    </xf>
    <xf numFmtId="2" fontId="0" fillId="14" borderId="0" xfId="0" applyNumberFormat="1" applyFill="1"/>
    <xf numFmtId="2" fontId="0" fillId="19" borderId="0" xfId="0" applyNumberFormat="1" applyFill="1"/>
    <xf numFmtId="0" fontId="22" fillId="0" borderId="59" xfId="0" applyFont="1" applyBorder="1" applyAlignment="1">
      <alignment horizontal="center"/>
    </xf>
    <xf numFmtId="0" fontId="22" fillId="0" borderId="60" xfId="0" applyFont="1" applyBorder="1" applyAlignment="1">
      <alignment horizontal="center"/>
    </xf>
    <xf numFmtId="0" fontId="22" fillId="0" borderId="61" xfId="0" applyFont="1" applyBorder="1"/>
    <xf numFmtId="0" fontId="25" fillId="0" borderId="62" xfId="0" applyFont="1" applyBorder="1" applyAlignment="1">
      <alignment horizontal="left"/>
    </xf>
    <xf numFmtId="0" fontId="27" fillId="0" borderId="63" xfId="0" applyFont="1" applyBorder="1"/>
    <xf numFmtId="1" fontId="27" fillId="0" borderId="63" xfId="0" applyNumberFormat="1" applyFont="1" applyBorder="1" applyAlignment="1">
      <alignment horizontal="center" vertical="center"/>
    </xf>
    <xf numFmtId="1" fontId="15" fillId="0" borderId="37" xfId="0" applyNumberFormat="1" applyFont="1" applyBorder="1" applyAlignment="1">
      <alignment horizontal="left" vertical="center"/>
    </xf>
    <xf numFmtId="1" fontId="15" fillId="0" borderId="37" xfId="0" applyNumberFormat="1" applyFont="1" applyBorder="1" applyAlignment="1">
      <alignment horizontal="center" vertical="center"/>
    </xf>
    <xf numFmtId="0" fontId="22" fillId="0" borderId="37" xfId="0" applyFont="1" applyBorder="1" applyAlignment="1">
      <alignment horizontal="left"/>
    </xf>
    <xf numFmtId="0" fontId="22" fillId="0" borderId="37" xfId="0" applyFont="1" applyBorder="1" applyAlignment="1">
      <alignment horizontal="center"/>
    </xf>
    <xf numFmtId="0" fontId="11" fillId="2" borderId="15" xfId="0" applyFont="1" applyFill="1" applyBorder="1"/>
    <xf numFmtId="0" fontId="11" fillId="2" borderId="8" xfId="0" applyFont="1" applyFill="1" applyBorder="1"/>
    <xf numFmtId="1" fontId="29" fillId="0" borderId="52" xfId="0" applyNumberFormat="1" applyFont="1" applyBorder="1" applyAlignment="1">
      <alignment horizontal="center" vertical="center"/>
    </xf>
    <xf numFmtId="1" fontId="29" fillId="0" borderId="53" xfId="0" applyNumberFormat="1" applyFont="1" applyBorder="1" applyAlignment="1">
      <alignment horizontal="center" vertical="center"/>
    </xf>
    <xf numFmtId="1" fontId="29" fillId="0" borderId="54" xfId="0" applyNumberFormat="1" applyFont="1" applyBorder="1" applyAlignment="1">
      <alignment horizontal="center" vertical="center"/>
    </xf>
    <xf numFmtId="1" fontId="29" fillId="0" borderId="55" xfId="0" applyNumberFormat="1" applyFont="1" applyBorder="1" applyAlignment="1">
      <alignment horizontal="center" vertical="center"/>
    </xf>
    <xf numFmtId="1" fontId="29" fillId="0" borderId="56" xfId="0" applyNumberFormat="1" applyFont="1" applyBorder="1" applyAlignment="1">
      <alignment horizontal="center" vertical="center"/>
    </xf>
    <xf numFmtId="1" fontId="29" fillId="0" borderId="57" xfId="0" applyNumberFormat="1" applyFont="1" applyBorder="1" applyAlignment="1">
      <alignment horizontal="center" vertical="center"/>
    </xf>
    <xf numFmtId="0" fontId="28" fillId="2" borderId="8" xfId="0" applyFont="1" applyFill="1" applyBorder="1" applyAlignment="1">
      <alignment vertical="center"/>
    </xf>
    <xf numFmtId="0" fontId="2" fillId="16" borderId="15" xfId="0" applyFont="1" applyFill="1" applyBorder="1"/>
    <xf numFmtId="0" fontId="26" fillId="16" borderId="8" xfId="0" applyFont="1" applyFill="1" applyBorder="1" applyAlignment="1">
      <alignment vertical="center"/>
    </xf>
    <xf numFmtId="0" fontId="2" fillId="16" borderId="8" xfId="0" applyFont="1" applyFill="1" applyBorder="1"/>
    <xf numFmtId="0" fontId="22" fillId="0" borderId="12" xfId="0" applyFont="1" applyBorder="1"/>
    <xf numFmtId="0" fontId="22" fillId="5" borderId="64" xfId="0" applyFont="1" applyFill="1" applyBorder="1" applyAlignment="1">
      <alignment horizontal="center"/>
    </xf>
    <xf numFmtId="0" fontId="22" fillId="5" borderId="65" xfId="0" applyFont="1" applyFill="1" applyBorder="1"/>
    <xf numFmtId="0" fontId="22" fillId="5" borderId="4" xfId="0" applyFont="1" applyFill="1" applyBorder="1"/>
    <xf numFmtId="3" fontId="22" fillId="5" borderId="66" xfId="0" applyNumberFormat="1" applyFont="1" applyFill="1" applyBorder="1" applyAlignment="1">
      <alignment horizontal="center"/>
    </xf>
    <xf numFmtId="0" fontId="22" fillId="5" borderId="15" xfId="0" applyFont="1" applyFill="1" applyBorder="1"/>
    <xf numFmtId="0" fontId="22" fillId="5" borderId="8" xfId="0" applyFont="1" applyFill="1" applyBorder="1"/>
    <xf numFmtId="3" fontId="22" fillId="5" borderId="67" xfId="0" applyNumberFormat="1" applyFont="1" applyFill="1" applyBorder="1" applyAlignment="1">
      <alignment horizontal="center"/>
    </xf>
    <xf numFmtId="0" fontId="22" fillId="5" borderId="86" xfId="0" applyFont="1" applyFill="1" applyBorder="1"/>
    <xf numFmtId="0" fontId="22" fillId="5" borderId="87" xfId="0" applyFont="1" applyFill="1" applyBorder="1"/>
    <xf numFmtId="3" fontId="22" fillId="5" borderId="88" xfId="0" applyNumberFormat="1" applyFont="1" applyFill="1" applyBorder="1" applyAlignment="1">
      <alignment horizontal="center"/>
    </xf>
    <xf numFmtId="0" fontId="22" fillId="20" borderId="32" xfId="0" applyFont="1" applyFill="1" applyBorder="1"/>
    <xf numFmtId="3" fontId="22" fillId="20" borderId="85" xfId="0" applyNumberFormat="1" applyFont="1" applyFill="1" applyBorder="1" applyAlignment="1">
      <alignment horizontal="center"/>
    </xf>
    <xf numFmtId="0" fontId="0" fillId="20" borderId="0" xfId="0" applyFill="1"/>
    <xf numFmtId="169" fontId="30" fillId="0" borderId="48" xfId="0" applyNumberFormat="1" applyFont="1" applyBorder="1" applyAlignment="1">
      <alignment horizontal="center"/>
    </xf>
    <xf numFmtId="0" fontId="31" fillId="0" borderId="0" xfId="0" applyFont="1" applyAlignment="1">
      <alignment vertical="center"/>
    </xf>
    <xf numFmtId="0" fontId="0" fillId="0" borderId="0" xfId="0" applyAlignment="1">
      <alignment vertical="center"/>
    </xf>
    <xf numFmtId="0" fontId="22" fillId="0" borderId="93" xfId="0" applyFont="1" applyBorder="1" applyAlignment="1">
      <alignment horizontal="center"/>
    </xf>
    <xf numFmtId="0" fontId="22" fillId="0" borderId="61" xfId="0" applyFont="1" applyBorder="1" applyAlignment="1">
      <alignment horizontal="center"/>
    </xf>
    <xf numFmtId="1" fontId="32" fillId="0" borderId="90" xfId="0" applyNumberFormat="1" applyFont="1" applyBorder="1" applyAlignment="1">
      <alignment vertical="center"/>
    </xf>
    <xf numFmtId="1" fontId="15" fillId="0" borderId="94" xfId="0" applyNumberFormat="1" applyFont="1" applyBorder="1" applyAlignment="1">
      <alignment horizontal="center" vertical="center"/>
    </xf>
    <xf numFmtId="1" fontId="32" fillId="0" borderId="91" xfId="0" applyNumberFormat="1" applyFont="1" applyBorder="1" applyAlignment="1">
      <alignment vertical="center"/>
    </xf>
    <xf numFmtId="1" fontId="15" fillId="0" borderId="96" xfId="0" applyNumberFormat="1" applyFont="1" applyBorder="1" applyAlignment="1">
      <alignment horizontal="center" vertical="center"/>
    </xf>
    <xf numFmtId="1" fontId="32" fillId="0" borderId="92" xfId="0" applyNumberFormat="1" applyFont="1" applyBorder="1" applyAlignment="1">
      <alignment vertical="center"/>
    </xf>
    <xf numFmtId="1" fontId="15" fillId="0" borderId="98" xfId="0" applyNumberFormat="1" applyFont="1" applyBorder="1" applyAlignment="1">
      <alignment horizontal="center" vertical="center"/>
    </xf>
    <xf numFmtId="1" fontId="22" fillId="0" borderId="89" xfId="0" applyNumberFormat="1" applyFont="1" applyBorder="1" applyAlignment="1">
      <alignment horizontal="left" vertical="center"/>
    </xf>
    <xf numFmtId="0" fontId="25" fillId="0" borderId="0" xfId="0" applyFont="1"/>
    <xf numFmtId="1" fontId="22" fillId="0" borderId="89" xfId="0" applyNumberFormat="1" applyFont="1" applyBorder="1" applyAlignment="1">
      <alignment horizontal="center" vertical="center"/>
    </xf>
    <xf numFmtId="1" fontId="22" fillId="0" borderId="95" xfId="0" applyNumberFormat="1" applyFont="1" applyBorder="1" applyAlignment="1">
      <alignment horizontal="center" vertical="center"/>
    </xf>
    <xf numFmtId="1" fontId="22" fillId="0" borderId="97" xfId="0" applyNumberFormat="1" applyFont="1" applyBorder="1" applyAlignment="1">
      <alignment horizontal="center" vertical="center"/>
    </xf>
    <xf numFmtId="1" fontId="22" fillId="0" borderId="99" xfId="0" applyNumberFormat="1" applyFont="1" applyBorder="1" applyAlignment="1">
      <alignment horizontal="center" vertical="center"/>
    </xf>
    <xf numFmtId="0" fontId="18" fillId="5" borderId="0" xfId="2" applyFill="1" applyBorder="1" applyAlignment="1" applyProtection="1"/>
    <xf numFmtId="0" fontId="34" fillId="2" borderId="8" xfId="0" applyFont="1" applyFill="1" applyBorder="1"/>
    <xf numFmtId="0" fontId="2" fillId="0" borderId="0" xfId="0" applyFont="1"/>
    <xf numFmtId="0" fontId="2" fillId="9" borderId="0" xfId="0" applyFont="1" applyFill="1"/>
    <xf numFmtId="0" fontId="2" fillId="0" borderId="0" xfId="0" applyFont="1" applyAlignment="1">
      <alignment vertical="center"/>
    </xf>
    <xf numFmtId="170" fontId="33" fillId="5" borderId="0" xfId="0" applyNumberFormat="1" applyFont="1" applyFill="1" applyAlignment="1">
      <alignment vertical="center"/>
    </xf>
    <xf numFmtId="170" fontId="27" fillId="5" borderId="0" xfId="0" applyNumberFormat="1" applyFont="1" applyFill="1" applyAlignment="1">
      <alignment vertical="center"/>
    </xf>
    <xf numFmtId="0" fontId="11" fillId="5" borderId="0" xfId="0" applyFont="1" applyFill="1"/>
    <xf numFmtId="0" fontId="2" fillId="5" borderId="0" xfId="0" applyFont="1" applyFill="1"/>
    <xf numFmtId="0" fontId="2" fillId="18" borderId="0" xfId="0" applyFont="1" applyFill="1"/>
    <xf numFmtId="0" fontId="12" fillId="5" borderId="0" xfId="0" applyFont="1" applyFill="1" applyAlignment="1">
      <alignment vertical="center"/>
    </xf>
    <xf numFmtId="0" fontId="12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49" fontId="10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35" fillId="5" borderId="0" xfId="0" applyFont="1" applyFill="1" applyAlignment="1">
      <alignment horizontal="left"/>
    </xf>
    <xf numFmtId="0" fontId="2" fillId="18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2" fillId="5" borderId="12" xfId="0" applyFont="1" applyFill="1" applyBorder="1"/>
    <xf numFmtId="0" fontId="12" fillId="5" borderId="0" xfId="0" applyFont="1" applyFill="1"/>
    <xf numFmtId="0" fontId="13" fillId="5" borderId="0" xfId="0" applyFont="1" applyFill="1"/>
    <xf numFmtId="0" fontId="6" fillId="5" borderId="0" xfId="0" applyFont="1" applyFill="1" applyAlignment="1">
      <alignment horizontal="left"/>
    </xf>
    <xf numFmtId="0" fontId="13" fillId="5" borderId="12" xfId="0" applyFont="1" applyFill="1" applyBorder="1"/>
    <xf numFmtId="0" fontId="17" fillId="5" borderId="12" xfId="0" applyFont="1" applyFill="1" applyBorder="1"/>
    <xf numFmtId="0" fontId="17" fillId="5" borderId="0" xfId="0" applyFont="1" applyFill="1"/>
    <xf numFmtId="0" fontId="2" fillId="9" borderId="0" xfId="0" applyFont="1" applyFill="1" applyAlignment="1">
      <alignment horizontal="left"/>
    </xf>
    <xf numFmtId="0" fontId="9" fillId="5" borderId="34" xfId="0" applyFont="1" applyFill="1" applyBorder="1"/>
    <xf numFmtId="0" fontId="11" fillId="5" borderId="4" xfId="0" applyFont="1" applyFill="1" applyBorder="1"/>
    <xf numFmtId="0" fontId="11" fillId="5" borderId="30" xfId="0" applyFont="1" applyFill="1" applyBorder="1"/>
    <xf numFmtId="0" fontId="12" fillId="5" borderId="0" xfId="0" applyFont="1" applyFill="1" applyAlignment="1">
      <alignment wrapText="1"/>
    </xf>
    <xf numFmtId="0" fontId="10" fillId="5" borderId="0" xfId="0" applyFont="1" applyFill="1" applyAlignment="1">
      <alignment wrapText="1"/>
    </xf>
    <xf numFmtId="0" fontId="10" fillId="5" borderId="0" xfId="0" applyFont="1" applyFill="1"/>
    <xf numFmtId="0" fontId="19" fillId="5" borderId="35" xfId="0" applyFont="1" applyFill="1" applyBorder="1" applyAlignment="1">
      <alignment horizontal="center"/>
    </xf>
    <xf numFmtId="0" fontId="19" fillId="5" borderId="31" xfId="0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0" fontId="16" fillId="5" borderId="12" xfId="0" applyFont="1" applyFill="1" applyBorder="1"/>
    <xf numFmtId="0" fontId="16" fillId="5" borderId="0" xfId="0" applyFont="1" applyFill="1"/>
    <xf numFmtId="0" fontId="2" fillId="5" borderId="35" xfId="0" applyFont="1" applyFill="1" applyBorder="1" applyAlignment="1">
      <alignment horizontal="center"/>
    </xf>
    <xf numFmtId="9" fontId="2" fillId="5" borderId="31" xfId="1" applyFont="1" applyFill="1" applyBorder="1" applyAlignment="1" applyProtection="1">
      <alignment horizontal="center"/>
    </xf>
    <xf numFmtId="9" fontId="2" fillId="5" borderId="0" xfId="1" applyFont="1" applyFill="1" applyBorder="1" applyAlignment="1" applyProtection="1">
      <alignment horizontal="center"/>
    </xf>
    <xf numFmtId="9" fontId="6" fillId="5" borderId="0" xfId="1" applyFont="1" applyFill="1" applyBorder="1" applyAlignment="1" applyProtection="1">
      <alignment horizontal="left"/>
    </xf>
    <xf numFmtId="0" fontId="12" fillId="5" borderId="12" xfId="0" applyFont="1" applyFill="1" applyBorder="1" applyAlignment="1">
      <alignment wrapText="1"/>
    </xf>
    <xf numFmtId="0" fontId="4" fillId="5" borderId="0" xfId="0" applyFont="1" applyFill="1" applyAlignment="1">
      <alignment wrapText="1"/>
    </xf>
    <xf numFmtId="0" fontId="4" fillId="5" borderId="0" xfId="0" applyFont="1" applyFill="1"/>
    <xf numFmtId="0" fontId="2" fillId="5" borderId="36" xfId="0" applyFont="1" applyFill="1" applyBorder="1" applyAlignment="1">
      <alignment horizontal="center"/>
    </xf>
    <xf numFmtId="0" fontId="2" fillId="5" borderId="32" xfId="0" applyFont="1" applyFill="1" applyBorder="1"/>
    <xf numFmtId="9" fontId="2" fillId="5" borderId="33" xfId="1" applyFont="1" applyFill="1" applyBorder="1" applyAlignment="1" applyProtection="1">
      <alignment horizontal="center"/>
    </xf>
    <xf numFmtId="0" fontId="13" fillId="5" borderId="13" xfId="0" applyFont="1" applyFill="1" applyBorder="1"/>
    <xf numFmtId="0" fontId="13" fillId="5" borderId="6" xfId="0" applyFont="1" applyFill="1" applyBorder="1"/>
    <xf numFmtId="0" fontId="11" fillId="5" borderId="6" xfId="0" applyFont="1" applyFill="1" applyBorder="1"/>
    <xf numFmtId="0" fontId="6" fillId="5" borderId="6" xfId="0" applyFont="1" applyFill="1" applyBorder="1"/>
    <xf numFmtId="0" fontId="2" fillId="5" borderId="6" xfId="0" applyFont="1" applyFill="1" applyBorder="1"/>
    <xf numFmtId="9" fontId="2" fillId="5" borderId="6" xfId="1" applyFont="1" applyFill="1" applyBorder="1" applyProtection="1"/>
    <xf numFmtId="0" fontId="4" fillId="7" borderId="12" xfId="0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horizontal="centerContinuous"/>
    </xf>
    <xf numFmtId="49" fontId="4" fillId="7" borderId="0" xfId="0" applyNumberFormat="1" applyFont="1" applyFill="1" applyAlignment="1">
      <alignment horizontal="centerContinuous"/>
    </xf>
    <xf numFmtId="0" fontId="2" fillId="7" borderId="0" xfId="0" applyFont="1" applyFill="1"/>
    <xf numFmtId="0" fontId="4" fillId="7" borderId="0" xfId="0" applyFont="1" applyFill="1" applyAlignment="1">
      <alignment horizontal="center"/>
    </xf>
    <xf numFmtId="0" fontId="10" fillId="2" borderId="16" xfId="0" applyFont="1" applyFill="1" applyBorder="1"/>
    <xf numFmtId="0" fontId="10" fillId="2" borderId="5" xfId="0" applyFont="1" applyFill="1" applyBorder="1"/>
    <xf numFmtId="0" fontId="11" fillId="2" borderId="5" xfId="0" applyFont="1" applyFill="1" applyBorder="1"/>
    <xf numFmtId="49" fontId="11" fillId="2" borderId="5" xfId="0" applyNumberFormat="1" applyFont="1" applyFill="1" applyBorder="1"/>
    <xf numFmtId="0" fontId="11" fillId="2" borderId="5" xfId="0" applyFont="1" applyFill="1" applyBorder="1" applyAlignment="1">
      <alignment horizontal="center"/>
    </xf>
    <xf numFmtId="0" fontId="11" fillId="2" borderId="17" xfId="0" applyFont="1" applyFill="1" applyBorder="1"/>
    <xf numFmtId="0" fontId="10" fillId="2" borderId="13" xfId="0" applyFont="1" applyFill="1" applyBorder="1"/>
    <xf numFmtId="0" fontId="10" fillId="2" borderId="6" xfId="0" applyFont="1" applyFill="1" applyBorder="1"/>
    <xf numFmtId="0" fontId="11" fillId="2" borderId="6" xfId="0" applyFont="1" applyFill="1" applyBorder="1"/>
    <xf numFmtId="49" fontId="11" fillId="2" borderId="6" xfId="0" applyNumberFormat="1" applyFont="1" applyFill="1" applyBorder="1"/>
    <xf numFmtId="0" fontId="11" fillId="2" borderId="6" xfId="0" applyFont="1" applyFill="1" applyBorder="1" applyAlignment="1">
      <alignment horizontal="center"/>
    </xf>
    <xf numFmtId="0" fontId="11" fillId="2" borderId="14" xfId="0" applyFont="1" applyFill="1" applyBorder="1"/>
    <xf numFmtId="0" fontId="2" fillId="7" borderId="16" xfId="0" applyFont="1" applyFill="1" applyBorder="1"/>
    <xf numFmtId="0" fontId="2" fillId="7" borderId="5" xfId="0" applyFont="1" applyFill="1" applyBorder="1"/>
    <xf numFmtId="49" fontId="2" fillId="7" borderId="0" xfId="0" applyNumberFormat="1" applyFont="1" applyFill="1"/>
    <xf numFmtId="0" fontId="2" fillId="7" borderId="0" xfId="0" applyFont="1" applyFill="1" applyAlignment="1">
      <alignment horizontal="center"/>
    </xf>
    <xf numFmtId="0" fontId="2" fillId="7" borderId="11" xfId="0" applyFont="1" applyFill="1" applyBorder="1"/>
    <xf numFmtId="0" fontId="2" fillId="17" borderId="0" xfId="0" applyFont="1" applyFill="1"/>
    <xf numFmtId="0" fontId="4" fillId="0" borderId="44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49" fontId="4" fillId="0" borderId="21" xfId="0" applyNumberFormat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5" xfId="0" applyFont="1" applyBorder="1"/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17" borderId="0" xfId="0" applyFont="1" applyFill="1" applyAlignment="1">
      <alignment horizontal="center"/>
    </xf>
    <xf numFmtId="0" fontId="2" fillId="0" borderId="5" xfId="0" applyFont="1" applyBorder="1" applyAlignment="1">
      <alignment horizontal="center"/>
    </xf>
    <xf numFmtId="20" fontId="2" fillId="0" borderId="7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49" xfId="0" applyNumberFormat="1" applyFont="1" applyBorder="1" applyAlignment="1">
      <alignment horizontal="center"/>
    </xf>
    <xf numFmtId="0" fontId="2" fillId="0" borderId="39" xfId="0" applyFont="1" applyBorder="1"/>
    <xf numFmtId="165" fontId="2" fillId="0" borderId="16" xfId="0" applyNumberFormat="1" applyFont="1" applyBorder="1" applyAlignment="1">
      <alignment horizontal="center"/>
    </xf>
    <xf numFmtId="49" fontId="2" fillId="17" borderId="0" xfId="0" applyNumberFormat="1" applyFont="1" applyFill="1"/>
    <xf numFmtId="0" fontId="2" fillId="1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20" fontId="2" fillId="0" borderId="0" xfId="0" applyNumberFormat="1" applyFont="1" applyAlignment="1">
      <alignment horizontal="center"/>
    </xf>
    <xf numFmtId="165" fontId="2" fillId="0" borderId="50" xfId="0" applyNumberFormat="1" applyFont="1" applyBorder="1" applyAlignment="1">
      <alignment horizontal="center"/>
    </xf>
    <xf numFmtId="0" fontId="2" fillId="0" borderId="40" xfId="0" applyFont="1" applyBorder="1"/>
    <xf numFmtId="165" fontId="2" fillId="0" borderId="12" xfId="0" applyNumberFormat="1" applyFont="1" applyBorder="1" applyAlignment="1">
      <alignment horizontal="center"/>
    </xf>
    <xf numFmtId="0" fontId="6" fillId="17" borderId="0" xfId="0" applyFont="1" applyFill="1" applyAlignment="1">
      <alignment horizontal="center"/>
    </xf>
    <xf numFmtId="165" fontId="2" fillId="0" borderId="38" xfId="0" applyNumberFormat="1" applyFont="1" applyBorder="1" applyAlignment="1">
      <alignment horizontal="center"/>
    </xf>
    <xf numFmtId="0" fontId="2" fillId="0" borderId="41" xfId="0" applyFont="1" applyBorder="1"/>
    <xf numFmtId="165" fontId="2" fillId="0" borderId="13" xfId="0" applyNumberFormat="1" applyFont="1" applyBorder="1" applyAlignment="1">
      <alignment horizontal="center"/>
    </xf>
    <xf numFmtId="0" fontId="6" fillId="7" borderId="0" xfId="0" applyFont="1" applyFill="1"/>
    <xf numFmtId="0" fontId="2" fillId="0" borderId="6" xfId="0" applyFont="1" applyBorder="1" applyAlignment="1">
      <alignment horizontal="center"/>
    </xf>
    <xf numFmtId="20" fontId="2" fillId="0" borderId="43" xfId="0" applyNumberFormat="1" applyFont="1" applyBorder="1" applyAlignment="1">
      <alignment horizontal="center"/>
    </xf>
    <xf numFmtId="0" fontId="4" fillId="0" borderId="27" xfId="0" applyFont="1" applyBorder="1"/>
    <xf numFmtId="0" fontId="6" fillId="0" borderId="28" xfId="0" applyFont="1" applyBorder="1" applyAlignment="1">
      <alignment horizontal="left"/>
    </xf>
    <xf numFmtId="0" fontId="4" fillId="0" borderId="29" xfId="0" applyFont="1" applyBorder="1"/>
    <xf numFmtId="0" fontId="4" fillId="7" borderId="18" xfId="0" applyFont="1" applyFill="1" applyBorder="1"/>
    <xf numFmtId="0" fontId="4" fillId="7" borderId="2" xfId="0" applyFont="1" applyFill="1" applyBorder="1"/>
    <xf numFmtId="0" fontId="2" fillId="7" borderId="2" xfId="0" applyFont="1" applyFill="1" applyBorder="1"/>
    <xf numFmtId="49" fontId="2" fillId="7" borderId="2" xfId="0" applyNumberFormat="1" applyFont="1" applyFill="1" applyBorder="1"/>
    <xf numFmtId="49" fontId="4" fillId="0" borderId="23" xfId="0" applyNumberFormat="1" applyFont="1" applyBorder="1"/>
    <xf numFmtId="0" fontId="9" fillId="7" borderId="0" xfId="0" applyFont="1" applyFill="1"/>
    <xf numFmtId="0" fontId="10" fillId="4" borderId="16" xfId="0" applyFont="1" applyFill="1" applyBorder="1"/>
    <xf numFmtId="0" fontId="10" fillId="4" borderId="5" xfId="0" applyFont="1" applyFill="1" applyBorder="1"/>
    <xf numFmtId="0" fontId="11" fillId="4" borderId="5" xfId="0" applyFont="1" applyFill="1" applyBorder="1"/>
    <xf numFmtId="49" fontId="11" fillId="4" borderId="5" xfId="0" applyNumberFormat="1" applyFont="1" applyFill="1" applyBorder="1"/>
    <xf numFmtId="0" fontId="11" fillId="4" borderId="5" xfId="0" applyFont="1" applyFill="1" applyBorder="1" applyAlignment="1">
      <alignment horizontal="center"/>
    </xf>
    <xf numFmtId="0" fontId="10" fillId="4" borderId="13" xfId="0" applyFont="1" applyFill="1" applyBorder="1"/>
    <xf numFmtId="0" fontId="10" fillId="4" borderId="6" xfId="0" applyFont="1" applyFill="1" applyBorder="1"/>
    <xf numFmtId="0" fontId="11" fillId="4" borderId="6" xfId="0" applyFont="1" applyFill="1" applyBorder="1"/>
    <xf numFmtId="0" fontId="4" fillId="7" borderId="19" xfId="0" applyFont="1" applyFill="1" applyBorder="1"/>
    <xf numFmtId="0" fontId="4" fillId="12" borderId="12" xfId="0" applyFont="1" applyFill="1" applyBorder="1"/>
    <xf numFmtId="0" fontId="4" fillId="12" borderId="0" xfId="0" applyFont="1" applyFill="1"/>
    <xf numFmtId="0" fontId="2" fillId="12" borderId="0" xfId="0" applyFont="1" applyFill="1"/>
    <xf numFmtId="0" fontId="2" fillId="12" borderId="12" xfId="0" applyFont="1" applyFill="1" applyBorder="1"/>
    <xf numFmtId="0" fontId="4" fillId="0" borderId="24" xfId="0" applyFont="1" applyBorder="1" applyAlignment="1">
      <alignment horizontal="center"/>
    </xf>
    <xf numFmtId="0" fontId="6" fillId="12" borderId="0" xfId="0" applyFont="1" applyFill="1"/>
    <xf numFmtId="0" fontId="2" fillId="12" borderId="11" xfId="0" applyFont="1" applyFill="1" applyBorder="1"/>
    <xf numFmtId="49" fontId="2" fillId="12" borderId="0" xfId="0" applyNumberFormat="1" applyFont="1" applyFill="1"/>
    <xf numFmtId="0" fontId="2" fillId="12" borderId="0" xfId="0" applyFont="1" applyFill="1" applyAlignment="1">
      <alignment horizontal="center"/>
    </xf>
    <xf numFmtId="49" fontId="11" fillId="4" borderId="6" xfId="0" applyNumberFormat="1" applyFont="1" applyFill="1" applyBorder="1"/>
    <xf numFmtId="0" fontId="11" fillId="4" borderId="6" xfId="0" applyFont="1" applyFill="1" applyBorder="1" applyAlignment="1">
      <alignment horizontal="center"/>
    </xf>
    <xf numFmtId="0" fontId="4" fillId="7" borderId="20" xfId="0" applyFont="1" applyFill="1" applyBorder="1"/>
    <xf numFmtId="0" fontId="4" fillId="7" borderId="0" xfId="0" applyFont="1" applyFill="1"/>
    <xf numFmtId="0" fontId="4" fillId="7" borderId="12" xfId="0" applyFont="1" applyFill="1" applyBorder="1"/>
    <xf numFmtId="9" fontId="2" fillId="7" borderId="0" xfId="1" applyFont="1" applyFill="1" applyBorder="1" applyProtection="1"/>
    <xf numFmtId="0" fontId="12" fillId="14" borderId="15" xfId="0" applyFont="1" applyFill="1" applyBorder="1"/>
    <xf numFmtId="0" fontId="10" fillId="14" borderId="8" xfId="0" applyFont="1" applyFill="1" applyBorder="1"/>
    <xf numFmtId="0" fontId="11" fillId="14" borderId="8" xfId="0" applyFont="1" applyFill="1" applyBorder="1"/>
    <xf numFmtId="49" fontId="11" fillId="14" borderId="8" xfId="0" applyNumberFormat="1" applyFont="1" applyFill="1" applyBorder="1"/>
    <xf numFmtId="0" fontId="11" fillId="14" borderId="8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9" borderId="0" xfId="0" applyFont="1" applyFill="1"/>
    <xf numFmtId="1" fontId="3" fillId="9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14" fillId="8" borderId="9" xfId="0" applyFont="1" applyFill="1" applyBorder="1" applyAlignment="1">
      <alignment vertical="center"/>
    </xf>
    <xf numFmtId="0" fontId="14" fillId="8" borderId="10" xfId="0" applyFont="1" applyFill="1" applyBorder="1" applyAlignment="1">
      <alignment vertical="center"/>
    </xf>
    <xf numFmtId="1" fontId="14" fillId="8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" fontId="11" fillId="4" borderId="5" xfId="0" applyNumberFormat="1" applyFont="1" applyFill="1" applyBorder="1" applyAlignment="1">
      <alignment horizontal="center"/>
    </xf>
    <xf numFmtId="0" fontId="3" fillId="0" borderId="0" xfId="0" applyFont="1"/>
    <xf numFmtId="1" fontId="11" fillId="4" borderId="6" xfId="0" applyNumberFormat="1" applyFont="1" applyFill="1" applyBorder="1" applyAlignment="1">
      <alignment horizontal="center"/>
    </xf>
    <xf numFmtId="0" fontId="4" fillId="0" borderId="19" xfId="0" applyFont="1" applyBorder="1"/>
    <xf numFmtId="0" fontId="3" fillId="0" borderId="2" xfId="0" applyFont="1" applyBorder="1"/>
    <xf numFmtId="1" fontId="3" fillId="0" borderId="0" xfId="0" applyNumberFormat="1" applyFont="1" applyAlignment="1">
      <alignment horizontal="center"/>
    </xf>
    <xf numFmtId="0" fontId="4" fillId="16" borderId="68" xfId="0" applyFont="1" applyFill="1" applyBorder="1"/>
    <xf numFmtId="1" fontId="4" fillId="16" borderId="68" xfId="0" applyNumberFormat="1" applyFont="1" applyFill="1" applyBorder="1" applyAlignment="1">
      <alignment horizontal="center"/>
    </xf>
    <xf numFmtId="0" fontId="4" fillId="0" borderId="22" xfId="0" applyFont="1" applyBorder="1"/>
    <xf numFmtId="0" fontId="4" fillId="0" borderId="23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3" fillId="0" borderId="16" xfId="0" applyFont="1" applyBorder="1"/>
    <xf numFmtId="0" fontId="3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3" fillId="0" borderId="78" xfId="0" applyFont="1" applyBorder="1" applyAlignment="1">
      <alignment horizontal="center"/>
    </xf>
    <xf numFmtId="1" fontId="3" fillId="0" borderId="72" xfId="0" applyNumberFormat="1" applyFont="1" applyBorder="1" applyAlignment="1">
      <alignment horizontal="center"/>
    </xf>
    <xf numFmtId="0" fontId="3" fillId="0" borderId="73" xfId="0" applyFont="1" applyBorder="1" applyAlignment="1">
      <alignment horizontal="center"/>
    </xf>
    <xf numFmtId="0" fontId="3" fillId="0" borderId="12" xfId="0" applyFont="1" applyBorder="1"/>
    <xf numFmtId="0" fontId="3" fillId="0" borderId="79" xfId="0" applyFont="1" applyBorder="1" applyAlignment="1">
      <alignment horizontal="center"/>
    </xf>
    <xf numFmtId="1" fontId="3" fillId="0" borderId="74" xfId="0" applyNumberFormat="1" applyFont="1" applyBorder="1" applyAlignment="1">
      <alignment horizontal="center"/>
    </xf>
    <xf numFmtId="0" fontId="3" fillId="0" borderId="75" xfId="0" applyFont="1" applyBorder="1" applyAlignment="1">
      <alignment horizontal="center"/>
    </xf>
    <xf numFmtId="0" fontId="3" fillId="0" borderId="13" xfId="0" applyFont="1" applyBorder="1"/>
    <xf numFmtId="0" fontId="3" fillId="0" borderId="80" xfId="0" applyFont="1" applyBorder="1" applyAlignment="1">
      <alignment horizontal="center"/>
    </xf>
    <xf numFmtId="1" fontId="3" fillId="0" borderId="76" xfId="0" applyNumberFormat="1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4" fillId="0" borderId="12" xfId="0" applyFont="1" applyBorder="1"/>
    <xf numFmtId="49" fontId="3" fillId="0" borderId="2" xfId="0" applyNumberFormat="1" applyFont="1" applyBorder="1"/>
    <xf numFmtId="0" fontId="3" fillId="0" borderId="11" xfId="0" applyFont="1" applyBorder="1"/>
    <xf numFmtId="0" fontId="3" fillId="0" borderId="38" xfId="0" applyFont="1" applyBorder="1" applyAlignment="1">
      <alignment horizontal="center"/>
    </xf>
    <xf numFmtId="49" fontId="3" fillId="0" borderId="0" xfId="0" applyNumberFormat="1" applyFont="1"/>
    <xf numFmtId="0" fontId="4" fillId="0" borderId="83" xfId="0" applyFont="1" applyBorder="1"/>
    <xf numFmtId="1" fontId="4" fillId="0" borderId="83" xfId="0" applyNumberFormat="1" applyFont="1" applyBorder="1" applyAlignment="1">
      <alignment horizontal="center"/>
    </xf>
    <xf numFmtId="0" fontId="2" fillId="6" borderId="0" xfId="0" applyFont="1" applyFill="1" applyAlignment="1">
      <alignment horizontal="left"/>
    </xf>
    <xf numFmtId="0" fontId="4" fillId="16" borderId="82" xfId="0" applyFont="1" applyFill="1" applyBorder="1"/>
    <xf numFmtId="1" fontId="4" fillId="16" borderId="82" xfId="0" applyNumberFormat="1" applyFont="1" applyFill="1" applyBorder="1" applyAlignment="1">
      <alignment horizontal="center"/>
    </xf>
    <xf numFmtId="0" fontId="4" fillId="0" borderId="81" xfId="0" applyFont="1" applyBorder="1"/>
    <xf numFmtId="0" fontId="4" fillId="0" borderId="6" xfId="0" applyFont="1" applyBorder="1" applyAlignment="1">
      <alignment horizontal="center"/>
    </xf>
    <xf numFmtId="0" fontId="4" fillId="0" borderId="81" xfId="0" applyFont="1" applyBorder="1" applyAlignment="1">
      <alignment horizontal="center"/>
    </xf>
    <xf numFmtId="0" fontId="4" fillId="0" borderId="69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0" xfId="0" applyFont="1" applyAlignment="1">
      <alignment horizontal="center"/>
    </xf>
    <xf numFmtId="1" fontId="3" fillId="0" borderId="78" xfId="0" applyNumberFormat="1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4" fillId="0" borderId="0" xfId="0" applyFont="1" applyAlignment="1">
      <alignment horizontal="center"/>
    </xf>
    <xf numFmtId="1" fontId="3" fillId="0" borderId="79" xfId="0" applyNumberFormat="1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1" fontId="3" fillId="0" borderId="80" xfId="0" applyNumberFormat="1" applyFont="1" applyBorder="1" applyAlignment="1">
      <alignment horizontal="center"/>
    </xf>
    <xf numFmtId="0" fontId="4" fillId="0" borderId="12" xfId="0" applyFont="1" applyBorder="1" applyAlignment="1">
      <alignment horizontal="left"/>
    </xf>
    <xf numFmtId="1" fontId="0" fillId="0" borderId="0" xfId="0" applyNumberFormat="1" applyAlignment="1">
      <alignment horizontal="center"/>
    </xf>
    <xf numFmtId="0" fontId="7" fillId="0" borderId="12" xfId="0" applyFont="1" applyBorder="1"/>
    <xf numFmtId="0" fontId="3" fillId="0" borderId="0" xfId="0" applyFont="1" applyAlignment="1">
      <alignment horizontal="centerContinuous"/>
    </xf>
    <xf numFmtId="0" fontId="3" fillId="0" borderId="15" xfId="0" applyFont="1" applyBorder="1" applyAlignment="1">
      <alignment horizontal="left"/>
    </xf>
    <xf numFmtId="49" fontId="3" fillId="0" borderId="0" xfId="0" applyNumberFormat="1" applyFont="1" applyAlignment="1">
      <alignment horizontal="center"/>
    </xf>
    <xf numFmtId="0" fontId="4" fillId="16" borderId="84" xfId="0" applyFont="1" applyFill="1" applyBorder="1"/>
    <xf numFmtId="0" fontId="11" fillId="16" borderId="82" xfId="0" applyFont="1" applyFill="1" applyBorder="1"/>
    <xf numFmtId="0" fontId="4" fillId="16" borderId="15" xfId="0" applyFont="1" applyFill="1" applyBorder="1"/>
    <xf numFmtId="0" fontId="11" fillId="16" borderId="8" xfId="0" applyFont="1" applyFill="1" applyBorder="1"/>
    <xf numFmtId="49" fontId="11" fillId="16" borderId="8" xfId="0" applyNumberFormat="1" applyFont="1" applyFill="1" applyBorder="1"/>
    <xf numFmtId="1" fontId="11" fillId="16" borderId="8" xfId="0" applyNumberFormat="1" applyFont="1" applyFill="1" applyBorder="1" applyAlignment="1">
      <alignment horizontal="center"/>
    </xf>
    <xf numFmtId="171" fontId="2" fillId="0" borderId="1" xfId="0" applyNumberFormat="1" applyFont="1" applyBorder="1" applyAlignment="1">
      <alignment horizontal="center"/>
    </xf>
    <xf numFmtId="0" fontId="4" fillId="0" borderId="70" xfId="0" applyFont="1" applyBorder="1"/>
    <xf numFmtId="0" fontId="4" fillId="0" borderId="71" xfId="0" applyFont="1" applyBorder="1"/>
    <xf numFmtId="1" fontId="2" fillId="0" borderId="1" xfId="0" applyNumberFormat="1" applyFont="1" applyBorder="1" applyAlignment="1">
      <alignment horizontal="center"/>
    </xf>
    <xf numFmtId="0" fontId="2" fillId="17" borderId="0" xfId="0" quotePrefix="1" applyFont="1" applyFill="1" applyAlignment="1">
      <alignment horizontal="center"/>
    </xf>
    <xf numFmtId="0" fontId="4" fillId="16" borderId="101" xfId="0" applyFont="1" applyFill="1" applyBorder="1" applyAlignment="1" applyProtection="1">
      <alignment horizontal="left" vertical="center"/>
      <protection locked="0"/>
    </xf>
    <xf numFmtId="0" fontId="10" fillId="8" borderId="102" xfId="0" applyFont="1" applyFill="1" applyBorder="1" applyAlignment="1">
      <alignment vertical="center"/>
    </xf>
    <xf numFmtId="0" fontId="10" fillId="8" borderId="103" xfId="0" applyFont="1" applyFill="1" applyBorder="1" applyAlignment="1">
      <alignment vertical="center"/>
    </xf>
    <xf numFmtId="0" fontId="10" fillId="8" borderId="103" xfId="0" applyFont="1" applyFill="1" applyBorder="1" applyAlignment="1">
      <alignment horizontal="center"/>
    </xf>
    <xf numFmtId="49" fontId="10" fillId="8" borderId="103" xfId="0" applyNumberFormat="1" applyFont="1" applyFill="1" applyBorder="1" applyAlignment="1">
      <alignment horizontal="center"/>
    </xf>
    <xf numFmtId="0" fontId="11" fillId="8" borderId="103" xfId="0" applyFont="1" applyFill="1" applyBorder="1"/>
    <xf numFmtId="0" fontId="10" fillId="8" borderId="104" xfId="0" applyFont="1" applyFill="1" applyBorder="1" applyAlignment="1">
      <alignment horizontal="center"/>
    </xf>
    <xf numFmtId="0" fontId="36" fillId="0" borderId="0" xfId="0" applyFont="1"/>
    <xf numFmtId="0" fontId="4" fillId="0" borderId="2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2" fillId="0" borderId="0" xfId="0" applyFont="1" applyAlignment="1">
      <alignment horizontal="left" vertical="center" indent="3"/>
    </xf>
    <xf numFmtId="0" fontId="22" fillId="0" borderId="100" xfId="0" applyFont="1" applyBorder="1" applyAlignment="1">
      <alignment horizontal="left" vertical="center" indent="3"/>
    </xf>
    <xf numFmtId="0" fontId="22" fillId="0" borderId="0" xfId="0" applyFont="1" applyAlignment="1">
      <alignment horizontal="left" vertical="center" indent="5"/>
    </xf>
    <xf numFmtId="0" fontId="22" fillId="0" borderId="100" xfId="0" applyFont="1" applyBorder="1" applyAlignment="1">
      <alignment horizontal="left" vertical="center" indent="5"/>
    </xf>
    <xf numFmtId="0" fontId="22" fillId="0" borderId="58" xfId="0" applyFont="1" applyBorder="1" applyAlignment="1">
      <alignment horizontal="center"/>
    </xf>
    <xf numFmtId="0" fontId="22" fillId="0" borderId="51" xfId="0" applyFont="1" applyBorder="1" applyAlignment="1">
      <alignment horizontal="center"/>
    </xf>
    <xf numFmtId="0" fontId="22" fillId="13" borderId="0" xfId="0" applyFont="1" applyFill="1" applyAlignment="1">
      <alignment horizontal="center"/>
    </xf>
    <xf numFmtId="0" fontId="22" fillId="6" borderId="0" xfId="0" applyFont="1" applyFill="1" applyAlignment="1">
      <alignment horizontal="center"/>
    </xf>
    <xf numFmtId="0" fontId="22" fillId="0" borderId="0" xfId="0" quotePrefix="1" applyFont="1" applyAlignment="1">
      <alignment horizontal="center"/>
    </xf>
  </cellXfs>
  <cellStyles count="6">
    <cellStyle name="Comma" xfId="4" builtinId="3"/>
    <cellStyle name="Hyperlink" xfId="2" builtinId="8"/>
    <cellStyle name="Normal" xfId="0" builtinId="0"/>
    <cellStyle name="Normal 2" xfId="5" xr:uid="{00000000-0005-0000-0000-000002000000}"/>
    <cellStyle name="Percent" xfId="1" builtinId="5"/>
    <cellStyle name="Percent 2" xfId="3" xr:uid="{00000000-0005-0000-0000-000003000000}"/>
  </cellStyles>
  <dxfs count="1">
    <dxf>
      <font>
        <color rgb="FFFF000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.emf"/><Relationship Id="rId18" Type="http://schemas.openxmlformats.org/officeDocument/2006/relationships/image" Target="../media/image20.emf"/><Relationship Id="rId26" Type="http://schemas.openxmlformats.org/officeDocument/2006/relationships/image" Target="../media/image28.emf"/><Relationship Id="rId39" Type="http://schemas.openxmlformats.org/officeDocument/2006/relationships/image" Target="../media/image41.emf"/><Relationship Id="rId21" Type="http://schemas.openxmlformats.org/officeDocument/2006/relationships/image" Target="../media/image23.emf"/><Relationship Id="rId34" Type="http://schemas.openxmlformats.org/officeDocument/2006/relationships/image" Target="../media/image36.emf"/><Relationship Id="rId42" Type="http://schemas.openxmlformats.org/officeDocument/2006/relationships/image" Target="../media/image44.emf"/><Relationship Id="rId47" Type="http://schemas.openxmlformats.org/officeDocument/2006/relationships/image" Target="../media/image49.emf"/><Relationship Id="rId50" Type="http://schemas.openxmlformats.org/officeDocument/2006/relationships/image" Target="../media/image52.emf"/><Relationship Id="rId55" Type="http://schemas.openxmlformats.org/officeDocument/2006/relationships/image" Target="../media/image57.png"/><Relationship Id="rId7" Type="http://schemas.openxmlformats.org/officeDocument/2006/relationships/image" Target="../media/image9.emf"/><Relationship Id="rId2" Type="http://schemas.openxmlformats.org/officeDocument/2006/relationships/image" Target="../media/image4.emf"/><Relationship Id="rId16" Type="http://schemas.openxmlformats.org/officeDocument/2006/relationships/image" Target="../media/image18.emf"/><Relationship Id="rId20" Type="http://schemas.openxmlformats.org/officeDocument/2006/relationships/image" Target="../media/image22.emf"/><Relationship Id="rId29" Type="http://schemas.openxmlformats.org/officeDocument/2006/relationships/image" Target="../media/image31.emf"/><Relationship Id="rId41" Type="http://schemas.openxmlformats.org/officeDocument/2006/relationships/image" Target="../media/image43.emf"/><Relationship Id="rId54" Type="http://schemas.openxmlformats.org/officeDocument/2006/relationships/image" Target="../media/image56.jpeg"/><Relationship Id="rId62" Type="http://schemas.openxmlformats.org/officeDocument/2006/relationships/image" Target="../media/image2.png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11" Type="http://schemas.openxmlformats.org/officeDocument/2006/relationships/image" Target="../media/image13.emf"/><Relationship Id="rId24" Type="http://schemas.openxmlformats.org/officeDocument/2006/relationships/image" Target="../media/image26.emf"/><Relationship Id="rId32" Type="http://schemas.openxmlformats.org/officeDocument/2006/relationships/image" Target="../media/image34.emf"/><Relationship Id="rId37" Type="http://schemas.openxmlformats.org/officeDocument/2006/relationships/image" Target="../media/image39.emf"/><Relationship Id="rId40" Type="http://schemas.openxmlformats.org/officeDocument/2006/relationships/image" Target="../media/image42.emf"/><Relationship Id="rId45" Type="http://schemas.openxmlformats.org/officeDocument/2006/relationships/image" Target="../media/image47.emf"/><Relationship Id="rId53" Type="http://schemas.openxmlformats.org/officeDocument/2006/relationships/image" Target="../media/image55.emf"/><Relationship Id="rId58" Type="http://schemas.openxmlformats.org/officeDocument/2006/relationships/image" Target="../media/image60.emf"/><Relationship Id="rId5" Type="http://schemas.openxmlformats.org/officeDocument/2006/relationships/image" Target="../media/image7.emf"/><Relationship Id="rId15" Type="http://schemas.openxmlformats.org/officeDocument/2006/relationships/image" Target="../media/image17.emf"/><Relationship Id="rId23" Type="http://schemas.openxmlformats.org/officeDocument/2006/relationships/image" Target="../media/image25.emf"/><Relationship Id="rId28" Type="http://schemas.openxmlformats.org/officeDocument/2006/relationships/image" Target="../media/image30.emf"/><Relationship Id="rId36" Type="http://schemas.openxmlformats.org/officeDocument/2006/relationships/image" Target="../media/image38.emf"/><Relationship Id="rId49" Type="http://schemas.openxmlformats.org/officeDocument/2006/relationships/image" Target="../media/image51.emf"/><Relationship Id="rId57" Type="http://schemas.openxmlformats.org/officeDocument/2006/relationships/image" Target="../media/image59.jpeg"/><Relationship Id="rId61" Type="http://schemas.openxmlformats.org/officeDocument/2006/relationships/image" Target="../media/image63.emf"/><Relationship Id="rId10" Type="http://schemas.openxmlformats.org/officeDocument/2006/relationships/image" Target="../media/image12.emf"/><Relationship Id="rId19" Type="http://schemas.openxmlformats.org/officeDocument/2006/relationships/image" Target="../media/image21.emf"/><Relationship Id="rId31" Type="http://schemas.openxmlformats.org/officeDocument/2006/relationships/image" Target="../media/image33.emf"/><Relationship Id="rId44" Type="http://schemas.openxmlformats.org/officeDocument/2006/relationships/image" Target="../media/image46.emf"/><Relationship Id="rId52" Type="http://schemas.openxmlformats.org/officeDocument/2006/relationships/image" Target="../media/image54.emf"/><Relationship Id="rId60" Type="http://schemas.openxmlformats.org/officeDocument/2006/relationships/image" Target="../media/image62.emf"/><Relationship Id="rId4" Type="http://schemas.openxmlformats.org/officeDocument/2006/relationships/image" Target="../media/image6.emf"/><Relationship Id="rId9" Type="http://schemas.openxmlformats.org/officeDocument/2006/relationships/image" Target="../media/image11.emf"/><Relationship Id="rId14" Type="http://schemas.openxmlformats.org/officeDocument/2006/relationships/image" Target="../media/image16.emf"/><Relationship Id="rId22" Type="http://schemas.openxmlformats.org/officeDocument/2006/relationships/image" Target="../media/image24.emf"/><Relationship Id="rId27" Type="http://schemas.openxmlformats.org/officeDocument/2006/relationships/image" Target="../media/image29.emf"/><Relationship Id="rId30" Type="http://schemas.openxmlformats.org/officeDocument/2006/relationships/image" Target="../media/image32.emf"/><Relationship Id="rId35" Type="http://schemas.openxmlformats.org/officeDocument/2006/relationships/image" Target="../media/image37.emf"/><Relationship Id="rId43" Type="http://schemas.openxmlformats.org/officeDocument/2006/relationships/image" Target="../media/image45.emf"/><Relationship Id="rId48" Type="http://schemas.openxmlformats.org/officeDocument/2006/relationships/image" Target="../media/image50.emf"/><Relationship Id="rId56" Type="http://schemas.openxmlformats.org/officeDocument/2006/relationships/image" Target="../media/image58.png"/><Relationship Id="rId8" Type="http://schemas.openxmlformats.org/officeDocument/2006/relationships/image" Target="../media/image10.emf"/><Relationship Id="rId51" Type="http://schemas.openxmlformats.org/officeDocument/2006/relationships/image" Target="../media/image53.emf"/><Relationship Id="rId3" Type="http://schemas.openxmlformats.org/officeDocument/2006/relationships/image" Target="../media/image5.emf"/><Relationship Id="rId12" Type="http://schemas.openxmlformats.org/officeDocument/2006/relationships/image" Target="../media/image14.emf"/><Relationship Id="rId17" Type="http://schemas.openxmlformats.org/officeDocument/2006/relationships/image" Target="../media/image19.emf"/><Relationship Id="rId25" Type="http://schemas.openxmlformats.org/officeDocument/2006/relationships/image" Target="../media/image27.emf"/><Relationship Id="rId33" Type="http://schemas.openxmlformats.org/officeDocument/2006/relationships/image" Target="../media/image35.emf"/><Relationship Id="rId38" Type="http://schemas.openxmlformats.org/officeDocument/2006/relationships/image" Target="../media/image40.emf"/><Relationship Id="rId46" Type="http://schemas.openxmlformats.org/officeDocument/2006/relationships/image" Target="../media/image48.emf"/><Relationship Id="rId59" Type="http://schemas.openxmlformats.org/officeDocument/2006/relationships/image" Target="../media/image6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8.png"/><Relationship Id="rId13" Type="http://schemas.openxmlformats.org/officeDocument/2006/relationships/image" Target="../media/image133.png"/><Relationship Id="rId18" Type="http://schemas.openxmlformats.org/officeDocument/2006/relationships/image" Target="../media/image138.png"/><Relationship Id="rId26" Type="http://schemas.openxmlformats.org/officeDocument/2006/relationships/image" Target="../media/image146.png"/><Relationship Id="rId3" Type="http://schemas.openxmlformats.org/officeDocument/2006/relationships/image" Target="../media/image123.png"/><Relationship Id="rId21" Type="http://schemas.openxmlformats.org/officeDocument/2006/relationships/image" Target="../media/image141.png"/><Relationship Id="rId7" Type="http://schemas.openxmlformats.org/officeDocument/2006/relationships/image" Target="../media/image127.png"/><Relationship Id="rId12" Type="http://schemas.openxmlformats.org/officeDocument/2006/relationships/image" Target="../media/image132.png"/><Relationship Id="rId17" Type="http://schemas.openxmlformats.org/officeDocument/2006/relationships/image" Target="../media/image137.png"/><Relationship Id="rId25" Type="http://schemas.openxmlformats.org/officeDocument/2006/relationships/image" Target="../media/image145.jpeg"/><Relationship Id="rId2" Type="http://schemas.openxmlformats.org/officeDocument/2006/relationships/image" Target="../media/image122.png"/><Relationship Id="rId16" Type="http://schemas.openxmlformats.org/officeDocument/2006/relationships/image" Target="../media/image136.png"/><Relationship Id="rId20" Type="http://schemas.openxmlformats.org/officeDocument/2006/relationships/image" Target="../media/image140.png"/><Relationship Id="rId29" Type="http://schemas.openxmlformats.org/officeDocument/2006/relationships/image" Target="../media/image149.png"/><Relationship Id="rId1" Type="http://schemas.openxmlformats.org/officeDocument/2006/relationships/image" Target="../media/image121.jpeg"/><Relationship Id="rId6" Type="http://schemas.openxmlformats.org/officeDocument/2006/relationships/image" Target="../media/image126.png"/><Relationship Id="rId11" Type="http://schemas.openxmlformats.org/officeDocument/2006/relationships/image" Target="../media/image131.png"/><Relationship Id="rId24" Type="http://schemas.openxmlformats.org/officeDocument/2006/relationships/image" Target="../media/image144.png"/><Relationship Id="rId32" Type="http://schemas.openxmlformats.org/officeDocument/2006/relationships/image" Target="../media/image152.png"/><Relationship Id="rId5" Type="http://schemas.openxmlformats.org/officeDocument/2006/relationships/image" Target="../media/image125.png"/><Relationship Id="rId15" Type="http://schemas.openxmlformats.org/officeDocument/2006/relationships/image" Target="../media/image135.jpeg"/><Relationship Id="rId23" Type="http://schemas.openxmlformats.org/officeDocument/2006/relationships/image" Target="../media/image143.png"/><Relationship Id="rId28" Type="http://schemas.openxmlformats.org/officeDocument/2006/relationships/image" Target="../media/image148.png"/><Relationship Id="rId10" Type="http://schemas.openxmlformats.org/officeDocument/2006/relationships/image" Target="../media/image130.png"/><Relationship Id="rId19" Type="http://schemas.openxmlformats.org/officeDocument/2006/relationships/image" Target="../media/image139.png"/><Relationship Id="rId31" Type="http://schemas.openxmlformats.org/officeDocument/2006/relationships/image" Target="../media/image151.png"/><Relationship Id="rId4" Type="http://schemas.openxmlformats.org/officeDocument/2006/relationships/image" Target="../media/image124.png"/><Relationship Id="rId9" Type="http://schemas.openxmlformats.org/officeDocument/2006/relationships/image" Target="../media/image129.png"/><Relationship Id="rId14" Type="http://schemas.openxmlformats.org/officeDocument/2006/relationships/image" Target="../media/image134.png"/><Relationship Id="rId22" Type="http://schemas.openxmlformats.org/officeDocument/2006/relationships/image" Target="../media/image142.png"/><Relationship Id="rId27" Type="http://schemas.openxmlformats.org/officeDocument/2006/relationships/image" Target="../media/image147.png"/><Relationship Id="rId30" Type="http://schemas.openxmlformats.org/officeDocument/2006/relationships/image" Target="../media/image150.jpeg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76.emf"/><Relationship Id="rId18" Type="http://schemas.openxmlformats.org/officeDocument/2006/relationships/image" Target="../media/image81.emf"/><Relationship Id="rId26" Type="http://schemas.openxmlformats.org/officeDocument/2006/relationships/image" Target="../media/image89.emf"/><Relationship Id="rId39" Type="http://schemas.openxmlformats.org/officeDocument/2006/relationships/image" Target="../media/image102.emf"/><Relationship Id="rId21" Type="http://schemas.openxmlformats.org/officeDocument/2006/relationships/image" Target="../media/image84.emf"/><Relationship Id="rId34" Type="http://schemas.openxmlformats.org/officeDocument/2006/relationships/image" Target="../media/image97.emf"/><Relationship Id="rId42" Type="http://schemas.openxmlformats.org/officeDocument/2006/relationships/image" Target="../media/image105.emf"/><Relationship Id="rId47" Type="http://schemas.openxmlformats.org/officeDocument/2006/relationships/image" Target="../media/image110.emf"/><Relationship Id="rId50" Type="http://schemas.openxmlformats.org/officeDocument/2006/relationships/image" Target="../media/image113.emf"/><Relationship Id="rId55" Type="http://schemas.openxmlformats.org/officeDocument/2006/relationships/image" Target="../media/image118.emf"/><Relationship Id="rId7" Type="http://schemas.openxmlformats.org/officeDocument/2006/relationships/image" Target="../media/image70.emf"/><Relationship Id="rId12" Type="http://schemas.openxmlformats.org/officeDocument/2006/relationships/image" Target="../media/image75.emf"/><Relationship Id="rId17" Type="http://schemas.openxmlformats.org/officeDocument/2006/relationships/image" Target="../media/image80.emf"/><Relationship Id="rId25" Type="http://schemas.openxmlformats.org/officeDocument/2006/relationships/image" Target="../media/image88.emf"/><Relationship Id="rId33" Type="http://schemas.openxmlformats.org/officeDocument/2006/relationships/image" Target="../media/image96.emf"/><Relationship Id="rId38" Type="http://schemas.openxmlformats.org/officeDocument/2006/relationships/image" Target="../media/image101.emf"/><Relationship Id="rId46" Type="http://schemas.openxmlformats.org/officeDocument/2006/relationships/image" Target="../media/image109.emf"/><Relationship Id="rId2" Type="http://schemas.openxmlformats.org/officeDocument/2006/relationships/image" Target="../media/image65.emf"/><Relationship Id="rId16" Type="http://schemas.openxmlformats.org/officeDocument/2006/relationships/image" Target="../media/image79.emf"/><Relationship Id="rId20" Type="http://schemas.openxmlformats.org/officeDocument/2006/relationships/image" Target="../media/image83.emf"/><Relationship Id="rId29" Type="http://schemas.openxmlformats.org/officeDocument/2006/relationships/image" Target="../media/image92.emf"/><Relationship Id="rId41" Type="http://schemas.openxmlformats.org/officeDocument/2006/relationships/image" Target="../media/image104.emf"/><Relationship Id="rId54" Type="http://schemas.openxmlformats.org/officeDocument/2006/relationships/image" Target="../media/image117.emf"/><Relationship Id="rId1" Type="http://schemas.openxmlformats.org/officeDocument/2006/relationships/image" Target="../media/image64.emf"/><Relationship Id="rId6" Type="http://schemas.openxmlformats.org/officeDocument/2006/relationships/image" Target="../media/image69.emf"/><Relationship Id="rId11" Type="http://schemas.openxmlformats.org/officeDocument/2006/relationships/image" Target="../media/image74.emf"/><Relationship Id="rId24" Type="http://schemas.openxmlformats.org/officeDocument/2006/relationships/image" Target="../media/image87.emf"/><Relationship Id="rId32" Type="http://schemas.openxmlformats.org/officeDocument/2006/relationships/image" Target="../media/image95.emf"/><Relationship Id="rId37" Type="http://schemas.openxmlformats.org/officeDocument/2006/relationships/image" Target="../media/image100.emf"/><Relationship Id="rId40" Type="http://schemas.openxmlformats.org/officeDocument/2006/relationships/image" Target="../media/image103.emf"/><Relationship Id="rId45" Type="http://schemas.openxmlformats.org/officeDocument/2006/relationships/image" Target="../media/image108.emf"/><Relationship Id="rId53" Type="http://schemas.openxmlformats.org/officeDocument/2006/relationships/image" Target="../media/image116.emf"/><Relationship Id="rId5" Type="http://schemas.openxmlformats.org/officeDocument/2006/relationships/image" Target="../media/image68.emf"/><Relationship Id="rId15" Type="http://schemas.openxmlformats.org/officeDocument/2006/relationships/image" Target="../media/image78.emf"/><Relationship Id="rId23" Type="http://schemas.openxmlformats.org/officeDocument/2006/relationships/image" Target="../media/image86.emf"/><Relationship Id="rId28" Type="http://schemas.openxmlformats.org/officeDocument/2006/relationships/image" Target="../media/image91.emf"/><Relationship Id="rId36" Type="http://schemas.openxmlformats.org/officeDocument/2006/relationships/image" Target="../media/image99.emf"/><Relationship Id="rId49" Type="http://schemas.openxmlformats.org/officeDocument/2006/relationships/image" Target="../media/image112.emf"/><Relationship Id="rId57" Type="http://schemas.openxmlformats.org/officeDocument/2006/relationships/image" Target="../media/image120.emf"/><Relationship Id="rId10" Type="http://schemas.openxmlformats.org/officeDocument/2006/relationships/image" Target="../media/image73.emf"/><Relationship Id="rId19" Type="http://schemas.openxmlformats.org/officeDocument/2006/relationships/image" Target="../media/image82.emf"/><Relationship Id="rId31" Type="http://schemas.openxmlformats.org/officeDocument/2006/relationships/image" Target="../media/image94.emf"/><Relationship Id="rId44" Type="http://schemas.openxmlformats.org/officeDocument/2006/relationships/image" Target="../media/image107.emf"/><Relationship Id="rId52" Type="http://schemas.openxmlformats.org/officeDocument/2006/relationships/image" Target="../media/image115.emf"/><Relationship Id="rId4" Type="http://schemas.openxmlformats.org/officeDocument/2006/relationships/image" Target="../media/image67.emf"/><Relationship Id="rId9" Type="http://schemas.openxmlformats.org/officeDocument/2006/relationships/image" Target="../media/image72.emf"/><Relationship Id="rId14" Type="http://schemas.openxmlformats.org/officeDocument/2006/relationships/image" Target="../media/image77.emf"/><Relationship Id="rId22" Type="http://schemas.openxmlformats.org/officeDocument/2006/relationships/image" Target="../media/image85.emf"/><Relationship Id="rId27" Type="http://schemas.openxmlformats.org/officeDocument/2006/relationships/image" Target="../media/image90.emf"/><Relationship Id="rId30" Type="http://schemas.openxmlformats.org/officeDocument/2006/relationships/image" Target="../media/image93.emf"/><Relationship Id="rId35" Type="http://schemas.openxmlformats.org/officeDocument/2006/relationships/image" Target="../media/image98.emf"/><Relationship Id="rId43" Type="http://schemas.openxmlformats.org/officeDocument/2006/relationships/image" Target="../media/image106.emf"/><Relationship Id="rId48" Type="http://schemas.openxmlformats.org/officeDocument/2006/relationships/image" Target="../media/image111.emf"/><Relationship Id="rId56" Type="http://schemas.openxmlformats.org/officeDocument/2006/relationships/image" Target="../media/image119.emf"/><Relationship Id="rId8" Type="http://schemas.openxmlformats.org/officeDocument/2006/relationships/image" Target="../media/image71.emf"/><Relationship Id="rId51" Type="http://schemas.openxmlformats.org/officeDocument/2006/relationships/image" Target="../media/image114.emf"/><Relationship Id="rId3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111</xdr:row>
      <xdr:rowOff>0</xdr:rowOff>
    </xdr:from>
    <xdr:to>
      <xdr:col>7</xdr:col>
      <xdr:colOff>9525</xdr:colOff>
      <xdr:row>111</xdr:row>
      <xdr:rowOff>0</xdr:rowOff>
    </xdr:to>
    <xdr:pic>
      <xdr:nvPicPr>
        <xdr:cNvPr id="1037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4175" y="114109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9525</xdr:colOff>
      <xdr:row>28</xdr:row>
      <xdr:rowOff>9525</xdr:rowOff>
    </xdr:to>
    <xdr:pic>
      <xdr:nvPicPr>
        <xdr:cNvPr id="1038" name="Picture 4" descr="http://stats.indextools.com/p.pl?a=1000225506876&amp;js=no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95675" y="129349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111</xdr:row>
      <xdr:rowOff>0</xdr:rowOff>
    </xdr:from>
    <xdr:to>
      <xdr:col>9</xdr:col>
      <xdr:colOff>9525</xdr:colOff>
      <xdr:row>111</xdr:row>
      <xdr:rowOff>0</xdr:rowOff>
    </xdr:to>
    <xdr:pic>
      <xdr:nvPicPr>
        <xdr:cNvPr id="1039" name="Picture 5" descr="http://stats.indextools.com/p.pl?a=1000225506876&amp;js=no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95675" y="147637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111</xdr:row>
      <xdr:rowOff>0</xdr:rowOff>
    </xdr:from>
    <xdr:to>
      <xdr:col>9</xdr:col>
      <xdr:colOff>9525</xdr:colOff>
      <xdr:row>111</xdr:row>
      <xdr:rowOff>0</xdr:rowOff>
    </xdr:to>
    <xdr:pic>
      <xdr:nvPicPr>
        <xdr:cNvPr id="1040" name="Picture 6" descr="http://stats.indextools.com/p.pl?a=1000225506876&amp;js=no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95675" y="159829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12</xdr:col>
      <xdr:colOff>1506682</xdr:colOff>
      <xdr:row>74</xdr:row>
      <xdr:rowOff>121228</xdr:rowOff>
    </xdr:from>
    <xdr:ext cx="9525" cy="9525"/>
    <xdr:pic>
      <xdr:nvPicPr>
        <xdr:cNvPr id="8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079682" y="12417137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23</xdr:row>
      <xdr:rowOff>0</xdr:rowOff>
    </xdr:from>
    <xdr:ext cx="9525" cy="9525"/>
    <xdr:pic>
      <xdr:nvPicPr>
        <xdr:cNvPr id="10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205382" y="19150853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24</xdr:row>
      <xdr:rowOff>0</xdr:rowOff>
    </xdr:from>
    <xdr:ext cx="9525" cy="9525"/>
    <xdr:pic>
      <xdr:nvPicPr>
        <xdr:cNvPr id="11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205382" y="19150853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18</xdr:col>
      <xdr:colOff>0</xdr:colOff>
      <xdr:row>32</xdr:row>
      <xdr:rowOff>0</xdr:rowOff>
    </xdr:from>
    <xdr:ext cx="9525" cy="9525"/>
    <xdr:pic>
      <xdr:nvPicPr>
        <xdr:cNvPr id="26" name="Picture 4" descr="http://stats.indextools.com/p.pl?a=1000225506876&amp;js=n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117235" y="7788088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14</xdr:col>
      <xdr:colOff>338668</xdr:colOff>
      <xdr:row>2</xdr:row>
      <xdr:rowOff>158750</xdr:rowOff>
    </xdr:from>
    <xdr:to>
      <xdr:col>16</xdr:col>
      <xdr:colOff>99027</xdr:colOff>
      <xdr:row>15</xdr:row>
      <xdr:rowOff>31750</xdr:rowOff>
    </xdr:to>
    <xdr:pic>
      <xdr:nvPicPr>
        <xdr:cNvPr id="3" name="Bildobjekt 2" descr="FIFA World Cup 2022 Logo PNG Vector (SVG) Free Download">
          <a:extLst>
            <a:ext uri="{FF2B5EF4-FFF2-40B4-BE49-F238E27FC236}">
              <a16:creationId xmlns:a16="http://schemas.microsoft.com/office/drawing/2014/main" id="{73B0B616-E57D-7A25-E7E8-D3501431D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2668" y="635000"/>
          <a:ext cx="1326692" cy="1979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76</xdr:row>
      <xdr:rowOff>0</xdr:rowOff>
    </xdr:from>
    <xdr:to>
      <xdr:col>5</xdr:col>
      <xdr:colOff>9525</xdr:colOff>
      <xdr:row>76</xdr:row>
      <xdr:rowOff>9525</xdr:rowOff>
    </xdr:to>
    <xdr:pic>
      <xdr:nvPicPr>
        <xdr:cNvPr id="2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29100" y="90011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82</xdr:row>
      <xdr:rowOff>0</xdr:rowOff>
    </xdr:from>
    <xdr:to>
      <xdr:col>7</xdr:col>
      <xdr:colOff>9525</xdr:colOff>
      <xdr:row>82</xdr:row>
      <xdr:rowOff>9525</xdr:rowOff>
    </xdr:to>
    <xdr:pic>
      <xdr:nvPicPr>
        <xdr:cNvPr id="3" name="Picture 4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00600" y="104298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90</xdr:row>
      <xdr:rowOff>0</xdr:rowOff>
    </xdr:from>
    <xdr:to>
      <xdr:col>7</xdr:col>
      <xdr:colOff>9525</xdr:colOff>
      <xdr:row>90</xdr:row>
      <xdr:rowOff>9525</xdr:rowOff>
    </xdr:to>
    <xdr:pic>
      <xdr:nvPicPr>
        <xdr:cNvPr id="4" name="Picture 5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00600" y="121443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94</xdr:row>
      <xdr:rowOff>0</xdr:rowOff>
    </xdr:from>
    <xdr:to>
      <xdr:col>7</xdr:col>
      <xdr:colOff>9525</xdr:colOff>
      <xdr:row>94</xdr:row>
      <xdr:rowOff>9525</xdr:rowOff>
    </xdr:to>
    <xdr:pic>
      <xdr:nvPicPr>
        <xdr:cNvPr id="5" name="Picture 6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00600" y="132873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0</xdr:colOff>
      <xdr:row>76</xdr:row>
      <xdr:rowOff>0</xdr:rowOff>
    </xdr:from>
    <xdr:ext cx="9525" cy="9525"/>
    <xdr:pic>
      <xdr:nvPicPr>
        <xdr:cNvPr id="6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90029" y="10488706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82</xdr:row>
      <xdr:rowOff>0</xdr:rowOff>
    </xdr:from>
    <xdr:ext cx="9525" cy="9525"/>
    <xdr:pic>
      <xdr:nvPicPr>
        <xdr:cNvPr id="7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00675" y="102870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82</xdr:row>
      <xdr:rowOff>0</xdr:rowOff>
    </xdr:from>
    <xdr:ext cx="9525" cy="9525"/>
    <xdr:pic>
      <xdr:nvPicPr>
        <xdr:cNvPr id="8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0" y="102870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88</xdr:row>
      <xdr:rowOff>0</xdr:rowOff>
    </xdr:from>
    <xdr:ext cx="9525" cy="9525"/>
    <xdr:pic>
      <xdr:nvPicPr>
        <xdr:cNvPr id="10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0" y="102870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94</xdr:row>
      <xdr:rowOff>0</xdr:rowOff>
    </xdr:from>
    <xdr:ext cx="9525" cy="9525"/>
    <xdr:pic>
      <xdr:nvPicPr>
        <xdr:cNvPr id="12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0" y="102870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100</xdr:row>
      <xdr:rowOff>0</xdr:rowOff>
    </xdr:from>
    <xdr:ext cx="9525" cy="9525"/>
    <xdr:pic>
      <xdr:nvPicPr>
        <xdr:cNvPr id="13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00675" y="102870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100</xdr:row>
      <xdr:rowOff>0</xdr:rowOff>
    </xdr:from>
    <xdr:ext cx="9525" cy="9525"/>
    <xdr:pic>
      <xdr:nvPicPr>
        <xdr:cNvPr id="14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0" y="102870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106</xdr:row>
      <xdr:rowOff>0</xdr:rowOff>
    </xdr:from>
    <xdr:ext cx="9525" cy="9525"/>
    <xdr:pic>
      <xdr:nvPicPr>
        <xdr:cNvPr id="15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00675" y="102870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106</xdr:row>
      <xdr:rowOff>0</xdr:rowOff>
    </xdr:from>
    <xdr:ext cx="9525" cy="9525"/>
    <xdr:pic>
      <xdr:nvPicPr>
        <xdr:cNvPr id="16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0" y="102870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112</xdr:row>
      <xdr:rowOff>0</xdr:rowOff>
    </xdr:from>
    <xdr:ext cx="9525" cy="9525"/>
    <xdr:pic>
      <xdr:nvPicPr>
        <xdr:cNvPr id="17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00675" y="102870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112</xdr:row>
      <xdr:rowOff>0</xdr:rowOff>
    </xdr:from>
    <xdr:ext cx="9525" cy="9525"/>
    <xdr:pic>
      <xdr:nvPicPr>
        <xdr:cNvPr id="18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0" y="102870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118</xdr:row>
      <xdr:rowOff>0</xdr:rowOff>
    </xdr:from>
    <xdr:ext cx="9525" cy="9525"/>
    <xdr:pic>
      <xdr:nvPicPr>
        <xdr:cNvPr id="19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00675" y="102870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118</xdr:row>
      <xdr:rowOff>0</xdr:rowOff>
    </xdr:from>
    <xdr:ext cx="9525" cy="9525"/>
    <xdr:pic>
      <xdr:nvPicPr>
        <xdr:cNvPr id="20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0" y="102870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100</xdr:row>
      <xdr:rowOff>0</xdr:rowOff>
    </xdr:from>
    <xdr:ext cx="9525" cy="9525"/>
    <xdr:pic>
      <xdr:nvPicPr>
        <xdr:cNvPr id="30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64206" y="11071412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106</xdr:row>
      <xdr:rowOff>0</xdr:rowOff>
    </xdr:from>
    <xdr:ext cx="9525" cy="9525"/>
    <xdr:pic>
      <xdr:nvPicPr>
        <xdr:cNvPr id="31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64206" y="11945471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112</xdr:row>
      <xdr:rowOff>0</xdr:rowOff>
    </xdr:from>
    <xdr:ext cx="9525" cy="9525"/>
    <xdr:pic>
      <xdr:nvPicPr>
        <xdr:cNvPr id="32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64206" y="12819529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118</xdr:row>
      <xdr:rowOff>0</xdr:rowOff>
    </xdr:from>
    <xdr:ext cx="9525" cy="9525"/>
    <xdr:pic>
      <xdr:nvPicPr>
        <xdr:cNvPr id="33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64206" y="13693588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608000</xdr:colOff>
          <xdr:row>21</xdr:row>
          <xdr:rowOff>1472</xdr:rowOff>
        </xdr:from>
        <xdr:to>
          <xdr:col>14</xdr:col>
          <xdr:colOff>1382935</xdr:colOff>
          <xdr:row>22</xdr:row>
          <xdr:rowOff>1439</xdr:rowOff>
        </xdr:to>
        <xdr:pic>
          <xdr:nvPicPr>
            <xdr:cNvPr id="6" name="irc_mi" descr="Bildresultat för tyskland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Frankrike" spid="_x0000_s334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228250" y="1277822"/>
              <a:ext cx="1384535" cy="419066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601926</xdr:colOff>
          <xdr:row>22</xdr:row>
          <xdr:rowOff>8239</xdr:rowOff>
        </xdr:from>
        <xdr:to>
          <xdr:col>10</xdr:col>
          <xdr:colOff>1377011</xdr:colOff>
          <xdr:row>23</xdr:row>
          <xdr:rowOff>5423</xdr:rowOff>
        </xdr:to>
        <xdr:pic>
          <xdr:nvPicPr>
            <xdr:cNvPr id="7" name="irc_mi" descr="Bildresultat för tyskland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Saudiarabien" spid="_x0000_s3344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998330" y="1693431"/>
              <a:ext cx="1383220" cy="414821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597187</xdr:colOff>
          <xdr:row>36</xdr:row>
          <xdr:rowOff>0</xdr:rowOff>
        </xdr:from>
        <xdr:to>
          <xdr:col>10</xdr:col>
          <xdr:colOff>1377523</xdr:colOff>
          <xdr:row>37</xdr:row>
          <xdr:rowOff>1019</xdr:rowOff>
        </xdr:to>
        <xdr:pic>
          <xdr:nvPicPr>
            <xdr:cNvPr id="8" name="irc_mi" descr="Bildresultat för tyskland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Brasilien" spid="_x0000_s3344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984540" y="4515971"/>
              <a:ext cx="1385455" cy="415636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271707</xdr:colOff>
          <xdr:row>36</xdr:row>
          <xdr:rowOff>0</xdr:rowOff>
        </xdr:from>
        <xdr:to>
          <xdr:col>2</xdr:col>
          <xdr:colOff>1367271</xdr:colOff>
          <xdr:row>37</xdr:row>
          <xdr:rowOff>1019</xdr:rowOff>
        </xdr:to>
        <xdr:pic>
          <xdr:nvPicPr>
            <xdr:cNvPr id="9" name="irc_mi" descr="Bildresultat för tyskland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Spanien" spid="_x0000_s33448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516636" y="7130143"/>
              <a:ext cx="1381314" cy="422840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729</xdr:colOff>
          <xdr:row>36</xdr:row>
          <xdr:rowOff>0</xdr:rowOff>
        </xdr:from>
        <xdr:to>
          <xdr:col>15</xdr:col>
          <xdr:colOff>729</xdr:colOff>
          <xdr:row>37</xdr:row>
          <xdr:rowOff>1019</xdr:rowOff>
        </xdr:to>
        <xdr:pic>
          <xdr:nvPicPr>
            <xdr:cNvPr id="10" name="irc_mi" descr="Bildresultat för tyskland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Portugal" spid="_x0000_s33449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0198082" y="4515971"/>
              <a:ext cx="1385455" cy="415636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285314</xdr:colOff>
          <xdr:row>38</xdr:row>
          <xdr:rowOff>2746</xdr:rowOff>
        </xdr:from>
        <xdr:to>
          <xdr:col>2</xdr:col>
          <xdr:colOff>1380878</xdr:colOff>
          <xdr:row>39</xdr:row>
          <xdr:rowOff>3627</xdr:rowOff>
        </xdr:to>
        <xdr:pic>
          <xdr:nvPicPr>
            <xdr:cNvPr id="11" name="irc_mi" descr="Bildresultat för tyskland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Tyskland" spid="_x0000_s33450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890432" y="5347952"/>
              <a:ext cx="1386917" cy="415499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601926</xdr:colOff>
          <xdr:row>24</xdr:row>
          <xdr:rowOff>1113</xdr:rowOff>
        </xdr:from>
        <xdr:to>
          <xdr:col>10</xdr:col>
          <xdr:colOff>1377011</xdr:colOff>
          <xdr:row>25</xdr:row>
          <xdr:rowOff>1077</xdr:rowOff>
        </xdr:to>
        <xdr:pic>
          <xdr:nvPicPr>
            <xdr:cNvPr id="12" name="irc_mi" descr="Bildresultat för tyskland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Polen" spid="_x0000_s33451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6998330" y="2521575"/>
              <a:ext cx="1383220" cy="417600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597182</xdr:colOff>
          <xdr:row>39</xdr:row>
          <xdr:rowOff>1271</xdr:rowOff>
        </xdr:from>
        <xdr:to>
          <xdr:col>10</xdr:col>
          <xdr:colOff>1377518</xdr:colOff>
          <xdr:row>40</xdr:row>
          <xdr:rowOff>2289</xdr:rowOff>
        </xdr:to>
        <xdr:pic>
          <xdr:nvPicPr>
            <xdr:cNvPr id="13" name="irc_mi" descr="Bildresultat för tyskland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Kamerun" spid="_x0000_s33452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6984535" y="5761095"/>
              <a:ext cx="1385455" cy="415636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601926</xdr:colOff>
          <xdr:row>21</xdr:row>
          <xdr:rowOff>1472</xdr:rowOff>
        </xdr:from>
        <xdr:to>
          <xdr:col>10</xdr:col>
          <xdr:colOff>1377011</xdr:colOff>
          <xdr:row>22</xdr:row>
          <xdr:rowOff>1439</xdr:rowOff>
        </xdr:to>
        <xdr:pic>
          <xdr:nvPicPr>
            <xdr:cNvPr id="14" name="irc_mi" descr="Bildresultat för tyskland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Argentina" spid="_x0000_s33453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6998330" y="1269030"/>
              <a:ext cx="1383220" cy="417600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281267</xdr:colOff>
          <xdr:row>24</xdr:row>
          <xdr:rowOff>1113</xdr:rowOff>
        </xdr:from>
        <xdr:to>
          <xdr:col>6</xdr:col>
          <xdr:colOff>1381517</xdr:colOff>
          <xdr:row>25</xdr:row>
          <xdr:rowOff>3076</xdr:rowOff>
        </xdr:to>
        <xdr:pic>
          <xdr:nvPicPr>
            <xdr:cNvPr id="15" name="irc_mi" descr="Bildresultat för tyskland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Wales" spid="_x0000_s33454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3795664" y="2549872"/>
              <a:ext cx="1389284" cy="417600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608000</xdr:colOff>
          <xdr:row>22</xdr:row>
          <xdr:rowOff>8239</xdr:rowOff>
        </xdr:from>
        <xdr:to>
          <xdr:col>14</xdr:col>
          <xdr:colOff>1382935</xdr:colOff>
          <xdr:row>23</xdr:row>
          <xdr:rowOff>9256</xdr:rowOff>
        </xdr:to>
        <xdr:pic>
          <xdr:nvPicPr>
            <xdr:cNvPr id="16" name="irc_mi" descr="Bildresultat för tyskland">
              <a:extLst>
                <a:ext uri="{FF2B5EF4-FFF2-40B4-BE49-F238E27FC236}">
                  <a16:creationId xmlns:a16="http://schemas.microsoft.com/office/drawing/2014/main" id="{00000000-0008-0000-0200-000010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Australien" spid="_x0000_s33455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10228250" y="1703689"/>
              <a:ext cx="1384535" cy="420119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724</xdr:colOff>
          <xdr:row>37</xdr:row>
          <xdr:rowOff>4220</xdr:rowOff>
        </xdr:from>
        <xdr:to>
          <xdr:col>15</xdr:col>
          <xdr:colOff>724</xdr:colOff>
          <xdr:row>38</xdr:row>
          <xdr:rowOff>5239</xdr:rowOff>
        </xdr:to>
        <xdr:pic>
          <xdr:nvPicPr>
            <xdr:cNvPr id="17" name="irc_mi" descr="Bildresultat för tyskland">
              <a:extLst>
                <a:ext uri="{FF2B5EF4-FFF2-40B4-BE49-F238E27FC236}">
                  <a16:creationId xmlns:a16="http://schemas.microsoft.com/office/drawing/2014/main" id="{00000000-0008-0000-0200-000011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Ghana" spid="_x0000_s33456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10198077" y="4934808"/>
              <a:ext cx="1385455" cy="415636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608000</xdr:colOff>
          <xdr:row>23</xdr:row>
          <xdr:rowOff>4676</xdr:rowOff>
        </xdr:from>
        <xdr:to>
          <xdr:col>14</xdr:col>
          <xdr:colOff>1382935</xdr:colOff>
          <xdr:row>24</xdr:row>
          <xdr:rowOff>5696</xdr:rowOff>
        </xdr:to>
        <xdr:pic>
          <xdr:nvPicPr>
            <xdr:cNvPr id="18" name="irc_mi" descr="Bildresultat för tyskland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Danmark" spid="_x0000_s33457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10228250" y="2119226"/>
              <a:ext cx="1384535" cy="420118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281267</xdr:colOff>
          <xdr:row>23</xdr:row>
          <xdr:rowOff>4676</xdr:rowOff>
        </xdr:from>
        <xdr:to>
          <xdr:col>6</xdr:col>
          <xdr:colOff>1381517</xdr:colOff>
          <xdr:row>24</xdr:row>
          <xdr:rowOff>2312</xdr:rowOff>
        </xdr:to>
        <xdr:pic>
          <xdr:nvPicPr>
            <xdr:cNvPr id="19" name="irc_mi" descr="Bildresultat för tyskland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USA" spid="_x0000_s33458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3795664" y="2133021"/>
              <a:ext cx="1389284" cy="418048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287310</xdr:colOff>
          <xdr:row>37</xdr:row>
          <xdr:rowOff>4220</xdr:rowOff>
        </xdr:from>
        <xdr:to>
          <xdr:col>6</xdr:col>
          <xdr:colOff>1381412</xdr:colOff>
          <xdr:row>38</xdr:row>
          <xdr:rowOff>5239</xdr:rowOff>
        </xdr:to>
        <xdr:pic>
          <xdr:nvPicPr>
            <xdr:cNvPr id="20" name="irc_mi" descr="Bildresultat för tyskland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Kanada" spid="_x0000_s33459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3783545" y="4934808"/>
              <a:ext cx="1385455" cy="415636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608000</xdr:colOff>
          <xdr:row>24</xdr:row>
          <xdr:rowOff>1113</xdr:rowOff>
        </xdr:from>
        <xdr:to>
          <xdr:col>14</xdr:col>
          <xdr:colOff>1382935</xdr:colOff>
          <xdr:row>25</xdr:row>
          <xdr:rowOff>1077</xdr:rowOff>
        </xdr:to>
        <xdr:pic>
          <xdr:nvPicPr>
            <xdr:cNvPr id="21" name="irc_mi" descr="Bildresultat för tyskland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Tunisien" spid="_x0000_s33460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10228250" y="2534763"/>
              <a:ext cx="1384535" cy="419066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597187</xdr:colOff>
          <xdr:row>37</xdr:row>
          <xdr:rowOff>4220</xdr:rowOff>
        </xdr:from>
        <xdr:to>
          <xdr:col>10</xdr:col>
          <xdr:colOff>1377523</xdr:colOff>
          <xdr:row>38</xdr:row>
          <xdr:rowOff>5239</xdr:rowOff>
        </xdr:to>
        <xdr:pic>
          <xdr:nvPicPr>
            <xdr:cNvPr id="22" name="irc_mi" descr="Bildresultat för tyskland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Serbien" spid="_x0000_s33461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6984540" y="4934808"/>
              <a:ext cx="1385455" cy="415636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601926</xdr:colOff>
          <xdr:row>23</xdr:row>
          <xdr:rowOff>4676</xdr:rowOff>
        </xdr:from>
        <xdr:to>
          <xdr:col>10</xdr:col>
          <xdr:colOff>1377011</xdr:colOff>
          <xdr:row>24</xdr:row>
          <xdr:rowOff>1864</xdr:rowOff>
        </xdr:to>
        <xdr:pic>
          <xdr:nvPicPr>
            <xdr:cNvPr id="23" name="irc_mi" descr="Bildresultat för tyskland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Mexiko" spid="_x0000_s33462"/>
                </a:ext>
              </a:extLst>
            </xdr:cNvPicPr>
          </xdr:nvPicPr>
          <xdr:blipFill>
            <a:blip xmlns:r="http://schemas.openxmlformats.org/officeDocument/2006/relationships" r:embed="rId18"/>
            <a:srcRect/>
            <a:stretch>
              <a:fillRect/>
            </a:stretch>
          </xdr:blipFill>
          <xdr:spPr bwMode="auto">
            <a:xfrm>
              <a:off x="6998330" y="2107503"/>
              <a:ext cx="1383220" cy="414821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729</xdr:colOff>
          <xdr:row>38</xdr:row>
          <xdr:rowOff>2746</xdr:rowOff>
        </xdr:from>
        <xdr:to>
          <xdr:col>15</xdr:col>
          <xdr:colOff>729</xdr:colOff>
          <xdr:row>39</xdr:row>
          <xdr:rowOff>3764</xdr:rowOff>
        </xdr:to>
        <xdr:pic>
          <xdr:nvPicPr>
            <xdr:cNvPr id="24" name="irc_mi" descr="Bildresultat för tyskland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Uruguay" spid="_x0000_s33463"/>
                </a:ext>
              </a:extLst>
            </xdr:cNvPicPr>
          </xdr:nvPicPr>
          <xdr:blipFill>
            <a:blip xmlns:r="http://schemas.openxmlformats.org/officeDocument/2006/relationships" r:embed="rId19"/>
            <a:srcRect/>
            <a:stretch>
              <a:fillRect/>
            </a:stretch>
          </xdr:blipFill>
          <xdr:spPr bwMode="auto">
            <a:xfrm>
              <a:off x="10198082" y="5347952"/>
              <a:ext cx="1385455" cy="415636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281267</xdr:colOff>
          <xdr:row>21</xdr:row>
          <xdr:rowOff>1472</xdr:rowOff>
        </xdr:from>
        <xdr:to>
          <xdr:col>6</xdr:col>
          <xdr:colOff>1381517</xdr:colOff>
          <xdr:row>22</xdr:row>
          <xdr:rowOff>3436</xdr:rowOff>
        </xdr:to>
        <xdr:pic>
          <xdr:nvPicPr>
            <xdr:cNvPr id="25" name="irc_mi" descr="Bildresultat för tyskland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England" spid="_x0000_s33464"/>
                </a:ext>
              </a:extLst>
            </xdr:cNvPicPr>
          </xdr:nvPicPr>
          <xdr:blipFill>
            <a:blip xmlns:r="http://schemas.openxmlformats.org/officeDocument/2006/relationships" r:embed="rId20"/>
            <a:srcRect/>
            <a:stretch>
              <a:fillRect/>
            </a:stretch>
          </xdr:blipFill>
          <xdr:spPr bwMode="auto">
            <a:xfrm>
              <a:off x="3795664" y="1288989"/>
              <a:ext cx="1389284" cy="417600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285314</xdr:colOff>
          <xdr:row>37</xdr:row>
          <xdr:rowOff>4220</xdr:rowOff>
        </xdr:from>
        <xdr:to>
          <xdr:col>2</xdr:col>
          <xdr:colOff>1380878</xdr:colOff>
          <xdr:row>38</xdr:row>
          <xdr:rowOff>5102</xdr:rowOff>
        </xdr:to>
        <xdr:pic>
          <xdr:nvPicPr>
            <xdr:cNvPr id="26" name="irc_mi" descr="Bildresultat för tyskland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CostaRica" spid="_x0000_s33465"/>
                </a:ext>
              </a:extLst>
            </xdr:cNvPicPr>
          </xdr:nvPicPr>
          <xdr:blipFill>
            <a:blip xmlns:r="http://schemas.openxmlformats.org/officeDocument/2006/relationships" r:embed="rId21"/>
            <a:srcRect/>
            <a:stretch>
              <a:fillRect/>
            </a:stretch>
          </xdr:blipFill>
          <xdr:spPr bwMode="auto">
            <a:xfrm>
              <a:off x="890432" y="4934808"/>
              <a:ext cx="1386917" cy="415499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729</xdr:colOff>
          <xdr:row>39</xdr:row>
          <xdr:rowOff>1271</xdr:rowOff>
        </xdr:from>
        <xdr:to>
          <xdr:col>15</xdr:col>
          <xdr:colOff>729</xdr:colOff>
          <xdr:row>40</xdr:row>
          <xdr:rowOff>2289</xdr:rowOff>
        </xdr:to>
        <xdr:pic>
          <xdr:nvPicPr>
            <xdr:cNvPr id="27" name="irc_mi" descr="Bildresultat för tyskland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Sydkorea" spid="_x0000_s33466"/>
                </a:ext>
              </a:extLst>
            </xdr:cNvPicPr>
          </xdr:nvPicPr>
          <xdr:blipFill>
            <a:blip xmlns:r="http://schemas.openxmlformats.org/officeDocument/2006/relationships" r:embed="rId22"/>
            <a:srcRect/>
            <a:stretch>
              <a:fillRect/>
            </a:stretch>
          </xdr:blipFill>
          <xdr:spPr bwMode="auto">
            <a:xfrm>
              <a:off x="10198082" y="5761095"/>
              <a:ext cx="1385455" cy="415636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285310</xdr:colOff>
          <xdr:row>39</xdr:row>
          <xdr:rowOff>1271</xdr:rowOff>
        </xdr:from>
        <xdr:to>
          <xdr:col>2</xdr:col>
          <xdr:colOff>1381960</xdr:colOff>
          <xdr:row>40</xdr:row>
          <xdr:rowOff>1021</xdr:rowOff>
        </xdr:to>
        <xdr:pic>
          <xdr:nvPicPr>
            <xdr:cNvPr id="28" name="irc_mi" descr="Bildresultat för tyskland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Japan" spid="_x0000_s33467"/>
                </a:ext>
              </a:extLst>
            </xdr:cNvPicPr>
          </xdr:nvPicPr>
          <xdr:blipFill>
            <a:blip xmlns:r="http://schemas.openxmlformats.org/officeDocument/2006/relationships" r:embed="rId23"/>
            <a:srcRect/>
            <a:stretch>
              <a:fillRect/>
            </a:stretch>
          </xdr:blipFill>
          <xdr:spPr bwMode="auto">
            <a:xfrm>
              <a:off x="890428" y="5761095"/>
              <a:ext cx="1388003" cy="414368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281267</xdr:colOff>
          <xdr:row>22</xdr:row>
          <xdr:rowOff>8239</xdr:rowOff>
        </xdr:from>
        <xdr:to>
          <xdr:col>6</xdr:col>
          <xdr:colOff>1381517</xdr:colOff>
          <xdr:row>23</xdr:row>
          <xdr:rowOff>2271</xdr:rowOff>
        </xdr:to>
        <xdr:pic>
          <xdr:nvPicPr>
            <xdr:cNvPr id="29" name="irc_mi" descr="Bildresultat för tyskland">
              <a:extLst>
                <a:ext uri="{FF2B5EF4-FFF2-40B4-BE49-F238E27FC236}">
                  <a16:creationId xmlns:a16="http://schemas.microsoft.com/office/drawing/2014/main" id="{00000000-0008-0000-0200-00001D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Iran" spid="_x0000_s33468"/>
                </a:ext>
              </a:extLst>
            </xdr:cNvPicPr>
          </xdr:nvPicPr>
          <xdr:blipFill>
            <a:blip xmlns:r="http://schemas.openxmlformats.org/officeDocument/2006/relationships" r:embed="rId24"/>
            <a:srcRect/>
            <a:stretch>
              <a:fillRect/>
            </a:stretch>
          </xdr:blipFill>
          <xdr:spPr bwMode="auto">
            <a:xfrm>
              <a:off x="3795664" y="1716170"/>
              <a:ext cx="1389284" cy="414448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287305</xdr:colOff>
          <xdr:row>38</xdr:row>
          <xdr:rowOff>2746</xdr:rowOff>
        </xdr:from>
        <xdr:to>
          <xdr:col>6</xdr:col>
          <xdr:colOff>1381407</xdr:colOff>
          <xdr:row>39</xdr:row>
          <xdr:rowOff>3764</xdr:rowOff>
        </xdr:to>
        <xdr:pic>
          <xdr:nvPicPr>
            <xdr:cNvPr id="30" name="irc_mi" descr="Bildresultat för tyskland">
              <a:extLst>
                <a:ext uri="{FF2B5EF4-FFF2-40B4-BE49-F238E27FC236}">
                  <a16:creationId xmlns:a16="http://schemas.microsoft.com/office/drawing/2014/main" id="{00000000-0008-0000-0200-00001E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Marocko" spid="_x0000_s33469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3783540" y="5347952"/>
              <a:ext cx="1385455" cy="415636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287310</xdr:colOff>
          <xdr:row>39</xdr:row>
          <xdr:rowOff>1271</xdr:rowOff>
        </xdr:from>
        <xdr:to>
          <xdr:col>6</xdr:col>
          <xdr:colOff>1381412</xdr:colOff>
          <xdr:row>40</xdr:row>
          <xdr:rowOff>2289</xdr:rowOff>
        </xdr:to>
        <xdr:pic>
          <xdr:nvPicPr>
            <xdr:cNvPr id="31" name="irc_mi" descr="Bildresultat för tyskland">
              <a:extLst>
                <a:ext uri="{FF2B5EF4-FFF2-40B4-BE49-F238E27FC236}">
                  <a16:creationId xmlns:a16="http://schemas.microsoft.com/office/drawing/2014/main" id="{00000000-0008-0000-0200-00001F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Kroatien" spid="_x0000_s33470"/>
                </a:ext>
              </a:extLst>
            </xdr:cNvPicPr>
          </xdr:nvPicPr>
          <xdr:blipFill>
            <a:blip xmlns:r="http://schemas.openxmlformats.org/officeDocument/2006/relationships" r:embed="rId26"/>
            <a:srcRect/>
            <a:stretch>
              <a:fillRect/>
            </a:stretch>
          </xdr:blipFill>
          <xdr:spPr bwMode="auto">
            <a:xfrm>
              <a:off x="3783545" y="5761095"/>
              <a:ext cx="1385455" cy="415636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597187</xdr:colOff>
          <xdr:row>38</xdr:row>
          <xdr:rowOff>2746</xdr:rowOff>
        </xdr:from>
        <xdr:to>
          <xdr:col>10</xdr:col>
          <xdr:colOff>1377523</xdr:colOff>
          <xdr:row>39</xdr:row>
          <xdr:rowOff>3764</xdr:rowOff>
        </xdr:to>
        <xdr:pic>
          <xdr:nvPicPr>
            <xdr:cNvPr id="32" name="irc_mi" descr="Bildresultat för tyskland">
              <a:extLst>
                <a:ext uri="{FF2B5EF4-FFF2-40B4-BE49-F238E27FC236}">
                  <a16:creationId xmlns:a16="http://schemas.microsoft.com/office/drawing/2014/main" id="{00000000-0008-0000-0200-000020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Schweiz" spid="_x0000_s33471"/>
                </a:ext>
              </a:extLst>
            </xdr:cNvPicPr>
          </xdr:nvPicPr>
          <xdr:blipFill>
            <a:blip xmlns:r="http://schemas.openxmlformats.org/officeDocument/2006/relationships" r:embed="rId27"/>
            <a:srcRect/>
            <a:stretch>
              <a:fillRect/>
            </a:stretch>
          </xdr:blipFill>
          <xdr:spPr bwMode="auto">
            <a:xfrm>
              <a:off x="6984540" y="5347952"/>
              <a:ext cx="1385455" cy="415636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287310</xdr:colOff>
          <xdr:row>36</xdr:row>
          <xdr:rowOff>0</xdr:rowOff>
        </xdr:from>
        <xdr:to>
          <xdr:col>6</xdr:col>
          <xdr:colOff>1381412</xdr:colOff>
          <xdr:row>37</xdr:row>
          <xdr:rowOff>1019</xdr:rowOff>
        </xdr:to>
        <xdr:pic>
          <xdr:nvPicPr>
            <xdr:cNvPr id="33" name="irc_mi" descr="Bildresultat för tyskland">
              <a:extLst>
                <a:ext uri="{FF2B5EF4-FFF2-40B4-BE49-F238E27FC236}">
                  <a16:creationId xmlns:a16="http://schemas.microsoft.com/office/drawing/2014/main" id="{00000000-0008-0000-0200-000021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Belgien" spid="_x0000_s33472"/>
                </a:ext>
              </a:extLst>
            </xdr:cNvPicPr>
          </xdr:nvPicPr>
          <xdr:blipFill>
            <a:blip xmlns:r="http://schemas.openxmlformats.org/officeDocument/2006/relationships" r:embed="rId28"/>
            <a:srcRect/>
            <a:stretch>
              <a:fillRect/>
            </a:stretch>
          </xdr:blipFill>
          <xdr:spPr bwMode="auto">
            <a:xfrm>
              <a:off x="3783545" y="4515971"/>
              <a:ext cx="1385455" cy="415636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231321</xdr:colOff>
          <xdr:row>65</xdr:row>
          <xdr:rowOff>136071</xdr:rowOff>
        </xdr:from>
        <xdr:to>
          <xdr:col>2</xdr:col>
          <xdr:colOff>1345870</xdr:colOff>
          <xdr:row>68</xdr:row>
          <xdr:rowOff>82879</xdr:rowOff>
        </xdr:to>
        <xdr:pic>
          <xdr:nvPicPr>
            <xdr:cNvPr id="69" name="irc_mi" descr="Bildresultat för tyskland">
              <a:extLst>
                <a:ext uri="{FF2B5EF4-FFF2-40B4-BE49-F238E27FC236}">
                  <a16:creationId xmlns:a16="http://schemas.microsoft.com/office/drawing/2014/main" id="{00000000-0008-0000-0200-000045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Åttondel5a" spid="_x0000_s33473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476250" y="13035642"/>
              <a:ext cx="1400299" cy="436666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231321</xdr:colOff>
          <xdr:row>51</xdr:row>
          <xdr:rowOff>0</xdr:rowOff>
        </xdr:from>
        <xdr:to>
          <xdr:col>2</xdr:col>
          <xdr:colOff>1324841</xdr:colOff>
          <xdr:row>53</xdr:row>
          <xdr:rowOff>110093</xdr:rowOff>
        </xdr:to>
        <xdr:pic>
          <xdr:nvPicPr>
            <xdr:cNvPr id="61" name="irc_mi" descr="Bildresultat för tyskland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Åttondel1a" spid="_x0000_s33474"/>
                </a:ext>
              </a:extLst>
            </xdr:cNvPicPr>
          </xdr:nvPicPr>
          <xdr:blipFill>
            <a:blip xmlns:r="http://schemas.openxmlformats.org/officeDocument/2006/relationships" r:embed="rId29"/>
            <a:srcRect/>
            <a:stretch>
              <a:fillRect/>
            </a:stretch>
          </xdr:blipFill>
          <xdr:spPr bwMode="auto">
            <a:xfrm>
              <a:off x="476250" y="10613571"/>
              <a:ext cx="1379270" cy="436665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231321</xdr:colOff>
          <xdr:row>54</xdr:row>
          <xdr:rowOff>40822</xdr:rowOff>
        </xdr:from>
        <xdr:to>
          <xdr:col>2</xdr:col>
          <xdr:colOff>1324841</xdr:colOff>
          <xdr:row>56</xdr:row>
          <xdr:rowOff>150914</xdr:rowOff>
        </xdr:to>
        <xdr:pic>
          <xdr:nvPicPr>
            <xdr:cNvPr id="62" name="irc_mi" descr="Bildresultat för tyskland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Åttondel1b" spid="_x0000_s33475"/>
                </a:ext>
              </a:extLst>
            </xdr:cNvPicPr>
          </xdr:nvPicPr>
          <xdr:blipFill>
            <a:blip xmlns:r="http://schemas.openxmlformats.org/officeDocument/2006/relationships" r:embed="rId30"/>
            <a:srcRect/>
            <a:stretch>
              <a:fillRect/>
            </a:stretch>
          </xdr:blipFill>
          <xdr:spPr bwMode="auto">
            <a:xfrm>
              <a:off x="476250" y="11144251"/>
              <a:ext cx="1379270" cy="436663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231321</xdr:colOff>
          <xdr:row>58</xdr:row>
          <xdr:rowOff>57150</xdr:rowOff>
        </xdr:from>
        <xdr:to>
          <xdr:col>2</xdr:col>
          <xdr:colOff>1333500</xdr:colOff>
          <xdr:row>60</xdr:row>
          <xdr:rowOff>152398</xdr:rowOff>
        </xdr:to>
        <xdr:pic>
          <xdr:nvPicPr>
            <xdr:cNvPr id="63" name="irc_mi" descr="Bildresultat för tyskland">
              <a:extLst>
                <a:ext uri="{FF2B5EF4-FFF2-40B4-BE49-F238E27FC236}">
                  <a16:creationId xmlns:a16="http://schemas.microsoft.com/office/drawing/2014/main" id="{00000000-0008-0000-0200-00003F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Åttondel2a" spid="_x0000_s33476"/>
                </a:ext>
              </a:extLst>
            </xdr:cNvPicPr>
          </xdr:nvPicPr>
          <xdr:blipFill>
            <a:blip xmlns:r="http://schemas.openxmlformats.org/officeDocument/2006/relationships" r:embed="rId31"/>
            <a:srcRect/>
            <a:stretch>
              <a:fillRect/>
            </a:stretch>
          </xdr:blipFill>
          <xdr:spPr bwMode="auto">
            <a:xfrm>
              <a:off x="476250" y="11813721"/>
              <a:ext cx="1387929" cy="421820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231321</xdr:colOff>
          <xdr:row>61</xdr:row>
          <xdr:rowOff>127907</xdr:rowOff>
        </xdr:from>
        <xdr:to>
          <xdr:col>2</xdr:col>
          <xdr:colOff>1333500</xdr:colOff>
          <xdr:row>64</xdr:row>
          <xdr:rowOff>59870</xdr:rowOff>
        </xdr:to>
        <xdr:pic>
          <xdr:nvPicPr>
            <xdr:cNvPr id="64" name="irc_mi" descr="Bildresultat för tyskland">
              <a:extLst>
                <a:ext uri="{FF2B5EF4-FFF2-40B4-BE49-F238E27FC236}">
                  <a16:creationId xmlns:a16="http://schemas.microsoft.com/office/drawing/2014/main" id="{00000000-0008-0000-0200-000040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Åttondel2b" spid="_x0000_s33477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476250" y="12374336"/>
              <a:ext cx="1387929" cy="421820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13608</xdr:colOff>
          <xdr:row>51</xdr:row>
          <xdr:rowOff>26225</xdr:rowOff>
        </xdr:from>
        <xdr:to>
          <xdr:col>17</xdr:col>
          <xdr:colOff>168235</xdr:colOff>
          <xdr:row>53</xdr:row>
          <xdr:rowOff>136320</xdr:rowOff>
        </xdr:to>
        <xdr:pic>
          <xdr:nvPicPr>
            <xdr:cNvPr id="65" name="irc_mi" descr="Bildresultat för tyskland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Åttondel3a" spid="_x0000_s33478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11280322" y="10639796"/>
              <a:ext cx="1379270" cy="436667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13608</xdr:colOff>
          <xdr:row>54</xdr:row>
          <xdr:rowOff>84364</xdr:rowOff>
        </xdr:from>
        <xdr:to>
          <xdr:col>17</xdr:col>
          <xdr:colOff>176894</xdr:colOff>
          <xdr:row>57</xdr:row>
          <xdr:rowOff>16328</xdr:rowOff>
        </xdr:to>
        <xdr:pic>
          <xdr:nvPicPr>
            <xdr:cNvPr id="66" name="irc_mi" descr="Bildresultat för tyskland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Åttondel3b" spid="_x0000_s33479"/>
                </a:ext>
              </a:extLst>
            </xdr:cNvPicPr>
          </xdr:nvPicPr>
          <xdr:blipFill>
            <a:blip xmlns:r="http://schemas.openxmlformats.org/officeDocument/2006/relationships" r:embed="rId33"/>
            <a:srcRect/>
            <a:stretch>
              <a:fillRect/>
            </a:stretch>
          </xdr:blipFill>
          <xdr:spPr bwMode="auto">
            <a:xfrm>
              <a:off x="11280322" y="11187793"/>
              <a:ext cx="1387929" cy="421821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13608</xdr:colOff>
          <xdr:row>58</xdr:row>
          <xdr:rowOff>28947</xdr:rowOff>
        </xdr:from>
        <xdr:to>
          <xdr:col>17</xdr:col>
          <xdr:colOff>176894</xdr:colOff>
          <xdr:row>60</xdr:row>
          <xdr:rowOff>124197</xdr:rowOff>
        </xdr:to>
        <xdr:pic>
          <xdr:nvPicPr>
            <xdr:cNvPr id="67" name="irc_mi" descr="Bildresultat för tyskland">
              <a:extLst>
                <a:ext uri="{FF2B5EF4-FFF2-40B4-BE49-F238E27FC236}">
                  <a16:creationId xmlns:a16="http://schemas.microsoft.com/office/drawing/2014/main" id="{00000000-0008-0000-0200-000043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Åttondel4a" spid="_x0000_s33480"/>
                </a:ext>
              </a:extLst>
            </xdr:cNvPicPr>
          </xdr:nvPicPr>
          <xdr:blipFill>
            <a:blip xmlns:r="http://schemas.openxmlformats.org/officeDocument/2006/relationships" r:embed="rId34"/>
            <a:srcRect/>
            <a:stretch>
              <a:fillRect/>
            </a:stretch>
          </xdr:blipFill>
          <xdr:spPr bwMode="auto">
            <a:xfrm>
              <a:off x="11280322" y="11785518"/>
              <a:ext cx="1387929" cy="421822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13608</xdr:colOff>
          <xdr:row>61</xdr:row>
          <xdr:rowOff>82386</xdr:rowOff>
        </xdr:from>
        <xdr:to>
          <xdr:col>17</xdr:col>
          <xdr:colOff>168235</xdr:colOff>
          <xdr:row>64</xdr:row>
          <xdr:rowOff>36617</xdr:rowOff>
        </xdr:to>
        <xdr:pic>
          <xdr:nvPicPr>
            <xdr:cNvPr id="68" name="irc_mi" descr="Bildresultat för tyskland">
              <a:extLst>
                <a:ext uri="{FF2B5EF4-FFF2-40B4-BE49-F238E27FC236}">
                  <a16:creationId xmlns:a16="http://schemas.microsoft.com/office/drawing/2014/main" id="{00000000-0008-0000-0200-000044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Åttondel4b" spid="_x0000_s33481"/>
                </a:ext>
              </a:extLst>
            </xdr:cNvPicPr>
          </xdr:nvPicPr>
          <xdr:blipFill>
            <a:blip xmlns:r="http://schemas.openxmlformats.org/officeDocument/2006/relationships" r:embed="rId35"/>
            <a:srcRect/>
            <a:stretch>
              <a:fillRect/>
            </a:stretch>
          </xdr:blipFill>
          <xdr:spPr bwMode="auto">
            <a:xfrm>
              <a:off x="11280322" y="12328815"/>
              <a:ext cx="1379270" cy="444088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231321</xdr:colOff>
          <xdr:row>69</xdr:row>
          <xdr:rowOff>13608</xdr:rowOff>
        </xdr:from>
        <xdr:to>
          <xdr:col>2</xdr:col>
          <xdr:colOff>1345870</xdr:colOff>
          <xdr:row>71</xdr:row>
          <xdr:rowOff>123700</xdr:rowOff>
        </xdr:to>
        <xdr:pic>
          <xdr:nvPicPr>
            <xdr:cNvPr id="70" name="irc_mi" descr="Bildresultat för tyskland">
              <a:extLst>
                <a:ext uri="{FF2B5EF4-FFF2-40B4-BE49-F238E27FC236}">
                  <a16:creationId xmlns:a16="http://schemas.microsoft.com/office/drawing/2014/main" id="{00000000-0008-0000-0200-000046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Åttondel5b" spid="_x0000_s33482"/>
                </a:ext>
              </a:extLst>
            </xdr:cNvPicPr>
          </xdr:nvPicPr>
          <xdr:blipFill>
            <a:blip xmlns:r="http://schemas.openxmlformats.org/officeDocument/2006/relationships" r:embed="rId36"/>
            <a:srcRect/>
            <a:stretch>
              <a:fillRect/>
            </a:stretch>
          </xdr:blipFill>
          <xdr:spPr bwMode="auto">
            <a:xfrm>
              <a:off x="476250" y="13566322"/>
              <a:ext cx="1400299" cy="436664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231321</xdr:colOff>
          <xdr:row>72</xdr:row>
          <xdr:rowOff>138793</xdr:rowOff>
        </xdr:from>
        <xdr:to>
          <xdr:col>2</xdr:col>
          <xdr:colOff>1333499</xdr:colOff>
          <xdr:row>75</xdr:row>
          <xdr:rowOff>70757</xdr:rowOff>
        </xdr:to>
        <xdr:pic>
          <xdr:nvPicPr>
            <xdr:cNvPr id="71" name="irc_mi" descr="Bildresultat för tyskland">
              <a:extLst>
                <a:ext uri="{FF2B5EF4-FFF2-40B4-BE49-F238E27FC236}">
                  <a16:creationId xmlns:a16="http://schemas.microsoft.com/office/drawing/2014/main" id="{00000000-0008-0000-0200-000047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Åttondel6a" spid="_x0000_s33483"/>
                </a:ext>
              </a:extLst>
            </xdr:cNvPicPr>
          </xdr:nvPicPr>
          <xdr:blipFill>
            <a:blip xmlns:r="http://schemas.openxmlformats.org/officeDocument/2006/relationships" r:embed="rId37"/>
            <a:srcRect/>
            <a:stretch>
              <a:fillRect/>
            </a:stretch>
          </xdr:blipFill>
          <xdr:spPr bwMode="auto">
            <a:xfrm>
              <a:off x="476250" y="14181364"/>
              <a:ext cx="1387928" cy="421822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231321</xdr:colOff>
          <xdr:row>76</xdr:row>
          <xdr:rowOff>46265</xdr:rowOff>
        </xdr:from>
        <xdr:to>
          <xdr:col>2</xdr:col>
          <xdr:colOff>1333499</xdr:colOff>
          <xdr:row>78</xdr:row>
          <xdr:rowOff>141514</xdr:rowOff>
        </xdr:to>
        <xdr:pic>
          <xdr:nvPicPr>
            <xdr:cNvPr id="72" name="irc_mi" descr="Bildresultat för tyskland">
              <a:extLst>
                <a:ext uri="{FF2B5EF4-FFF2-40B4-BE49-F238E27FC236}">
                  <a16:creationId xmlns:a16="http://schemas.microsoft.com/office/drawing/2014/main" id="{00000000-0008-0000-0200-000048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Åttondel6b" spid="_x0000_s33484"/>
                </a:ext>
              </a:extLst>
            </xdr:cNvPicPr>
          </xdr:nvPicPr>
          <xdr:blipFill>
            <a:blip xmlns:r="http://schemas.openxmlformats.org/officeDocument/2006/relationships" r:embed="rId38"/>
            <a:srcRect/>
            <a:stretch>
              <a:fillRect/>
            </a:stretch>
          </xdr:blipFill>
          <xdr:spPr bwMode="auto">
            <a:xfrm>
              <a:off x="476250" y="14741979"/>
              <a:ext cx="1387928" cy="421821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13608</xdr:colOff>
          <xdr:row>66</xdr:row>
          <xdr:rowOff>12618</xdr:rowOff>
        </xdr:from>
        <xdr:to>
          <xdr:col>17</xdr:col>
          <xdr:colOff>189264</xdr:colOff>
          <xdr:row>68</xdr:row>
          <xdr:rowOff>122711</xdr:rowOff>
        </xdr:to>
        <xdr:pic>
          <xdr:nvPicPr>
            <xdr:cNvPr id="73" name="irc_mi" descr="Bildresultat för tyskland">
              <a:extLst>
                <a:ext uri="{FF2B5EF4-FFF2-40B4-BE49-F238E27FC236}">
                  <a16:creationId xmlns:a16="http://schemas.microsoft.com/office/drawing/2014/main" id="{00000000-0008-0000-0200-000049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Åttondel7a" spid="_x0000_s33485"/>
                </a:ext>
              </a:extLst>
            </xdr:cNvPicPr>
          </xdr:nvPicPr>
          <xdr:blipFill>
            <a:blip xmlns:r="http://schemas.openxmlformats.org/officeDocument/2006/relationships" r:embed="rId39"/>
            <a:srcRect/>
            <a:stretch>
              <a:fillRect/>
            </a:stretch>
          </xdr:blipFill>
          <xdr:spPr bwMode="auto">
            <a:xfrm>
              <a:off x="11280322" y="13075475"/>
              <a:ext cx="1400299" cy="436665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13608</xdr:colOff>
          <xdr:row>69</xdr:row>
          <xdr:rowOff>70758</xdr:rowOff>
        </xdr:from>
        <xdr:to>
          <xdr:col>17</xdr:col>
          <xdr:colOff>176893</xdr:colOff>
          <xdr:row>72</xdr:row>
          <xdr:rowOff>2721</xdr:rowOff>
        </xdr:to>
        <xdr:pic>
          <xdr:nvPicPr>
            <xdr:cNvPr id="74" name="irc_mi" descr="Bildresultat för tyskland">
              <a:extLst>
                <a:ext uri="{FF2B5EF4-FFF2-40B4-BE49-F238E27FC236}">
                  <a16:creationId xmlns:a16="http://schemas.microsoft.com/office/drawing/2014/main" id="{00000000-0008-0000-0200-00004A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Åttondel7b" spid="_x0000_s33486"/>
                </a:ext>
              </a:extLst>
            </xdr:cNvPicPr>
          </xdr:nvPicPr>
          <xdr:blipFill>
            <a:blip xmlns:r="http://schemas.openxmlformats.org/officeDocument/2006/relationships" r:embed="rId40"/>
            <a:srcRect/>
            <a:stretch>
              <a:fillRect/>
            </a:stretch>
          </xdr:blipFill>
          <xdr:spPr bwMode="auto">
            <a:xfrm>
              <a:off x="11280322" y="13623472"/>
              <a:ext cx="1387928" cy="421820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13608</xdr:colOff>
          <xdr:row>73</xdr:row>
          <xdr:rowOff>69768</xdr:rowOff>
        </xdr:from>
        <xdr:to>
          <xdr:col>17</xdr:col>
          <xdr:colOff>176893</xdr:colOff>
          <xdr:row>76</xdr:row>
          <xdr:rowOff>1733</xdr:rowOff>
        </xdr:to>
        <xdr:pic>
          <xdr:nvPicPr>
            <xdr:cNvPr id="75" name="irc_mi" descr="Bildresultat för tyskland">
              <a:extLst>
                <a:ext uri="{FF2B5EF4-FFF2-40B4-BE49-F238E27FC236}">
                  <a16:creationId xmlns:a16="http://schemas.microsoft.com/office/drawing/2014/main" id="{00000000-0008-0000-0200-00004B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Åttondel8a" spid="_x0000_s33487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1280322" y="14275625"/>
              <a:ext cx="1387928" cy="421822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13608</xdr:colOff>
          <xdr:row>76</xdr:row>
          <xdr:rowOff>123208</xdr:rowOff>
        </xdr:from>
        <xdr:to>
          <xdr:col>17</xdr:col>
          <xdr:colOff>189264</xdr:colOff>
          <xdr:row>79</xdr:row>
          <xdr:rowOff>77438</xdr:rowOff>
        </xdr:to>
        <xdr:pic>
          <xdr:nvPicPr>
            <xdr:cNvPr id="76" name="irc_mi" descr="Bildresultat för tyskland">
              <a:extLst>
                <a:ext uri="{FF2B5EF4-FFF2-40B4-BE49-F238E27FC236}">
                  <a16:creationId xmlns:a16="http://schemas.microsoft.com/office/drawing/2014/main" id="{00000000-0008-0000-0200-00004C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Åttondel8b" spid="_x0000_s33488"/>
                </a:ext>
              </a:extLst>
            </xdr:cNvPicPr>
          </xdr:nvPicPr>
          <xdr:blipFill>
            <a:blip xmlns:r="http://schemas.openxmlformats.org/officeDocument/2006/relationships" r:embed="rId41"/>
            <a:srcRect/>
            <a:stretch>
              <a:fillRect/>
            </a:stretch>
          </xdr:blipFill>
          <xdr:spPr bwMode="auto">
            <a:xfrm>
              <a:off x="11280322" y="14818922"/>
              <a:ext cx="1400299" cy="444087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46263</xdr:colOff>
          <xdr:row>52</xdr:row>
          <xdr:rowOff>103168</xdr:rowOff>
        </xdr:from>
        <xdr:to>
          <xdr:col>5</xdr:col>
          <xdr:colOff>209549</xdr:colOff>
          <xdr:row>55</xdr:row>
          <xdr:rowOff>35132</xdr:rowOff>
        </xdr:to>
        <xdr:pic>
          <xdr:nvPicPr>
            <xdr:cNvPr id="77" name="irc_mi" descr="Bildresultat för tyskland">
              <a:extLst>
                <a:ext uri="{FF2B5EF4-FFF2-40B4-BE49-F238E27FC236}">
                  <a16:creationId xmlns:a16="http://schemas.microsoft.com/office/drawing/2014/main" id="{00000000-0008-0000-0200-00004D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Kvartsfinal1a" spid="_x0000_s33489"/>
                </a:ext>
              </a:extLst>
            </xdr:cNvPicPr>
          </xdr:nvPicPr>
          <xdr:blipFill>
            <a:blip xmlns:r="http://schemas.openxmlformats.org/officeDocument/2006/relationships" r:embed="rId42"/>
            <a:srcRect/>
            <a:stretch>
              <a:fillRect/>
            </a:stretch>
          </xdr:blipFill>
          <xdr:spPr bwMode="auto">
            <a:xfrm>
              <a:off x="1964870" y="10880025"/>
              <a:ext cx="1387929" cy="421821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46263</xdr:colOff>
          <xdr:row>59</xdr:row>
          <xdr:rowOff>146709</xdr:rowOff>
        </xdr:from>
        <xdr:to>
          <xdr:col>5</xdr:col>
          <xdr:colOff>221919</xdr:colOff>
          <xdr:row>62</xdr:row>
          <xdr:rowOff>100939</xdr:rowOff>
        </xdr:to>
        <xdr:pic>
          <xdr:nvPicPr>
            <xdr:cNvPr id="78" name="irc_mi" descr="Bildresultat för tyskland">
              <a:extLst>
                <a:ext uri="{FF2B5EF4-FFF2-40B4-BE49-F238E27FC236}">
                  <a16:creationId xmlns:a16="http://schemas.microsoft.com/office/drawing/2014/main" id="{00000000-0008-0000-0200-00004E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Kvartsfinal1b" spid="_x0000_s33490"/>
                </a:ext>
              </a:extLst>
            </xdr:cNvPicPr>
          </xdr:nvPicPr>
          <xdr:blipFill>
            <a:blip xmlns:r="http://schemas.openxmlformats.org/officeDocument/2006/relationships" r:embed="rId43"/>
            <a:srcRect/>
            <a:stretch>
              <a:fillRect/>
            </a:stretch>
          </xdr:blipFill>
          <xdr:spPr bwMode="auto">
            <a:xfrm>
              <a:off x="1964870" y="12066566"/>
              <a:ext cx="1400299" cy="444087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46263</xdr:colOff>
          <xdr:row>67</xdr:row>
          <xdr:rowOff>116775</xdr:rowOff>
        </xdr:from>
        <xdr:to>
          <xdr:col>5</xdr:col>
          <xdr:colOff>209549</xdr:colOff>
          <xdr:row>70</xdr:row>
          <xdr:rowOff>48739</xdr:rowOff>
        </xdr:to>
        <xdr:pic>
          <xdr:nvPicPr>
            <xdr:cNvPr id="79" name="irc_mi" descr="Bildresultat för tyskland">
              <a:extLst>
                <a:ext uri="{FF2B5EF4-FFF2-40B4-BE49-F238E27FC236}">
                  <a16:creationId xmlns:a16="http://schemas.microsoft.com/office/drawing/2014/main" id="{00000000-0008-0000-0200-00004F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Kvartsfinal3a" spid="_x0000_s33491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964870" y="13342918"/>
              <a:ext cx="1387929" cy="421821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46263</xdr:colOff>
          <xdr:row>74</xdr:row>
          <xdr:rowOff>92280</xdr:rowOff>
        </xdr:from>
        <xdr:to>
          <xdr:col>5</xdr:col>
          <xdr:colOff>215735</xdr:colOff>
          <xdr:row>77</xdr:row>
          <xdr:rowOff>46511</xdr:rowOff>
        </xdr:to>
        <xdr:pic>
          <xdr:nvPicPr>
            <xdr:cNvPr id="80" name="irc_mi" descr="Bildresultat för tyskland">
              <a:extLst>
                <a:ext uri="{FF2B5EF4-FFF2-40B4-BE49-F238E27FC236}">
                  <a16:creationId xmlns:a16="http://schemas.microsoft.com/office/drawing/2014/main" id="{00000000-0008-0000-0200-000050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Kvartsfinal3b" spid="_x0000_s33492"/>
                </a:ext>
              </a:extLst>
            </xdr:cNvPicPr>
          </xdr:nvPicPr>
          <xdr:blipFill>
            <a:blip xmlns:r="http://schemas.openxmlformats.org/officeDocument/2006/relationships" r:embed="rId44"/>
            <a:srcRect/>
            <a:stretch>
              <a:fillRect/>
            </a:stretch>
          </xdr:blipFill>
          <xdr:spPr bwMode="auto">
            <a:xfrm>
              <a:off x="1964870" y="14461423"/>
              <a:ext cx="1394115" cy="444088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468084</xdr:colOff>
          <xdr:row>52</xdr:row>
          <xdr:rowOff>126917</xdr:rowOff>
        </xdr:from>
        <xdr:to>
          <xdr:col>14</xdr:col>
          <xdr:colOff>1243691</xdr:colOff>
          <xdr:row>55</xdr:row>
          <xdr:rowOff>58881</xdr:rowOff>
        </xdr:to>
        <xdr:pic>
          <xdr:nvPicPr>
            <xdr:cNvPr id="81" name="irc_mi" descr="Bildresultat för tyskland">
              <a:extLst>
                <a:ext uri="{FF2B5EF4-FFF2-40B4-BE49-F238E27FC236}">
                  <a16:creationId xmlns:a16="http://schemas.microsoft.com/office/drawing/2014/main" id="{00000000-0008-0000-0200-000051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Kvartsfinal2a" spid="_x0000_s33493"/>
                </a:ext>
              </a:extLst>
            </xdr:cNvPicPr>
          </xdr:nvPicPr>
          <xdr:blipFill>
            <a:blip xmlns:r="http://schemas.openxmlformats.org/officeDocument/2006/relationships" r:embed="rId45"/>
            <a:srcRect/>
            <a:stretch>
              <a:fillRect/>
            </a:stretch>
          </xdr:blipFill>
          <xdr:spPr bwMode="auto">
            <a:xfrm>
              <a:off x="9734548" y="10903774"/>
              <a:ext cx="1387929" cy="421821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468084</xdr:colOff>
          <xdr:row>60</xdr:row>
          <xdr:rowOff>34389</xdr:rowOff>
        </xdr:from>
        <xdr:to>
          <xdr:col>14</xdr:col>
          <xdr:colOff>1256061</xdr:colOff>
          <xdr:row>62</xdr:row>
          <xdr:rowOff>151904</xdr:rowOff>
        </xdr:to>
        <xdr:pic>
          <xdr:nvPicPr>
            <xdr:cNvPr id="82" name="irc_mi" descr="Bildresultat för tyskland">
              <a:extLst>
                <a:ext uri="{FF2B5EF4-FFF2-40B4-BE49-F238E27FC236}">
                  <a16:creationId xmlns:a16="http://schemas.microsoft.com/office/drawing/2014/main" id="{00000000-0008-0000-0200-000052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Kvartsfinal2b" spid="_x0000_s33494"/>
                </a:ext>
              </a:extLst>
            </xdr:cNvPicPr>
          </xdr:nvPicPr>
          <xdr:blipFill>
            <a:blip xmlns:r="http://schemas.openxmlformats.org/officeDocument/2006/relationships" r:embed="rId46"/>
            <a:srcRect/>
            <a:stretch>
              <a:fillRect/>
            </a:stretch>
          </xdr:blipFill>
          <xdr:spPr bwMode="auto">
            <a:xfrm>
              <a:off x="9734548" y="12117532"/>
              <a:ext cx="1400299" cy="444086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468084</xdr:colOff>
          <xdr:row>67</xdr:row>
          <xdr:rowOff>126918</xdr:rowOff>
        </xdr:from>
        <xdr:to>
          <xdr:col>14</xdr:col>
          <xdr:colOff>1243691</xdr:colOff>
          <xdr:row>70</xdr:row>
          <xdr:rowOff>58882</xdr:rowOff>
        </xdr:to>
        <xdr:pic>
          <xdr:nvPicPr>
            <xdr:cNvPr id="83" name="irc_mi" descr="Bildresultat för tyskland">
              <a:extLst>
                <a:ext uri="{FF2B5EF4-FFF2-40B4-BE49-F238E27FC236}">
                  <a16:creationId xmlns:a16="http://schemas.microsoft.com/office/drawing/2014/main" id="{00000000-0008-0000-0200-000053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Kvartsfinal4a" spid="_x0000_s33495"/>
                </a:ext>
              </a:extLst>
            </xdr:cNvPicPr>
          </xdr:nvPicPr>
          <xdr:blipFill>
            <a:blip xmlns:r="http://schemas.openxmlformats.org/officeDocument/2006/relationships" r:embed="rId47"/>
            <a:srcRect/>
            <a:stretch>
              <a:fillRect/>
            </a:stretch>
          </xdr:blipFill>
          <xdr:spPr bwMode="auto">
            <a:xfrm>
              <a:off x="9734548" y="13353061"/>
              <a:ext cx="1387929" cy="421821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468084</xdr:colOff>
          <xdr:row>74</xdr:row>
          <xdr:rowOff>143246</xdr:rowOff>
        </xdr:from>
        <xdr:to>
          <xdr:col>14</xdr:col>
          <xdr:colOff>1249877</xdr:colOff>
          <xdr:row>77</xdr:row>
          <xdr:rowOff>97476</xdr:rowOff>
        </xdr:to>
        <xdr:pic>
          <xdr:nvPicPr>
            <xdr:cNvPr id="84" name="irc_mi" descr="Bildresultat för tyskland">
              <a:extLst>
                <a:ext uri="{FF2B5EF4-FFF2-40B4-BE49-F238E27FC236}">
                  <a16:creationId xmlns:a16="http://schemas.microsoft.com/office/drawing/2014/main" id="{00000000-0008-0000-0200-000054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Kvartsfinal4b" spid="_x0000_s3349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9734548" y="14512389"/>
              <a:ext cx="1394115" cy="444087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225878</xdr:colOff>
          <xdr:row>56</xdr:row>
          <xdr:rowOff>50469</xdr:rowOff>
        </xdr:from>
        <xdr:to>
          <xdr:col>6</xdr:col>
          <xdr:colOff>1328057</xdr:colOff>
          <xdr:row>58</xdr:row>
          <xdr:rowOff>138297</xdr:rowOff>
        </xdr:to>
        <xdr:pic>
          <xdr:nvPicPr>
            <xdr:cNvPr id="85" name="irc_mi" descr="Bildresultat för tyskland">
              <a:extLst>
                <a:ext uri="{FF2B5EF4-FFF2-40B4-BE49-F238E27FC236}">
                  <a16:creationId xmlns:a16="http://schemas.microsoft.com/office/drawing/2014/main" id="{00000000-0008-0000-0200-000055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Semifinal1a" spid="_x0000_s33497"/>
                </a:ext>
              </a:extLst>
            </xdr:cNvPicPr>
          </xdr:nvPicPr>
          <xdr:blipFill>
            <a:blip xmlns:r="http://schemas.openxmlformats.org/officeDocument/2006/relationships" r:embed="rId48"/>
            <a:srcRect/>
            <a:stretch>
              <a:fillRect/>
            </a:stretch>
          </xdr:blipFill>
          <xdr:spPr bwMode="auto">
            <a:xfrm>
              <a:off x="3369128" y="11480469"/>
              <a:ext cx="1387929" cy="414399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225878</xdr:colOff>
          <xdr:row>71</xdr:row>
          <xdr:rowOff>44284</xdr:rowOff>
        </xdr:from>
        <xdr:to>
          <xdr:col>6</xdr:col>
          <xdr:colOff>1328057</xdr:colOff>
          <xdr:row>73</xdr:row>
          <xdr:rowOff>139533</xdr:rowOff>
        </xdr:to>
        <xdr:pic>
          <xdr:nvPicPr>
            <xdr:cNvPr id="86" name="irc_mi" descr="Bildresultat för tyskland">
              <a:extLst>
                <a:ext uri="{FF2B5EF4-FFF2-40B4-BE49-F238E27FC236}">
                  <a16:creationId xmlns:a16="http://schemas.microsoft.com/office/drawing/2014/main" id="{00000000-0008-0000-0200-000056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Semifinal1b" spid="_x0000_s33498"/>
                </a:ext>
              </a:extLst>
            </xdr:cNvPicPr>
          </xdr:nvPicPr>
          <xdr:blipFill>
            <a:blip xmlns:r="http://schemas.openxmlformats.org/officeDocument/2006/relationships" r:embed="rId49"/>
            <a:srcRect/>
            <a:stretch>
              <a:fillRect/>
            </a:stretch>
          </xdr:blipFill>
          <xdr:spPr bwMode="auto">
            <a:xfrm>
              <a:off x="3369128" y="13923570"/>
              <a:ext cx="1387929" cy="421820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258536</xdr:colOff>
          <xdr:row>56</xdr:row>
          <xdr:rowOff>50469</xdr:rowOff>
        </xdr:from>
        <xdr:to>
          <xdr:col>13</xdr:col>
          <xdr:colOff>421822</xdr:colOff>
          <xdr:row>58</xdr:row>
          <xdr:rowOff>138297</xdr:rowOff>
        </xdr:to>
        <xdr:pic>
          <xdr:nvPicPr>
            <xdr:cNvPr id="87" name="irc_mi" descr="Bildresultat för tyskland">
              <a:extLst>
                <a:ext uri="{FF2B5EF4-FFF2-40B4-BE49-F238E27FC236}">
                  <a16:creationId xmlns:a16="http://schemas.microsoft.com/office/drawing/2014/main" id="{00000000-0008-0000-0200-000057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Semifinal2a" spid="_x0000_s33499"/>
                </a:ext>
              </a:extLst>
            </xdr:cNvPicPr>
          </xdr:nvPicPr>
          <xdr:blipFill>
            <a:blip xmlns:r="http://schemas.openxmlformats.org/officeDocument/2006/relationships" r:embed="rId50"/>
            <a:srcRect/>
            <a:stretch>
              <a:fillRect/>
            </a:stretch>
          </xdr:blipFill>
          <xdr:spPr bwMode="auto">
            <a:xfrm>
              <a:off x="8300357" y="11480469"/>
              <a:ext cx="1387929" cy="414399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258536</xdr:colOff>
          <xdr:row>71</xdr:row>
          <xdr:rowOff>44284</xdr:rowOff>
        </xdr:from>
        <xdr:to>
          <xdr:col>13</xdr:col>
          <xdr:colOff>421822</xdr:colOff>
          <xdr:row>73</xdr:row>
          <xdr:rowOff>132110</xdr:rowOff>
        </xdr:to>
        <xdr:pic>
          <xdr:nvPicPr>
            <xdr:cNvPr id="88" name="irc_mi" descr="Bildresultat för tyskland">
              <a:extLst>
                <a:ext uri="{FF2B5EF4-FFF2-40B4-BE49-F238E27FC236}">
                  <a16:creationId xmlns:a16="http://schemas.microsoft.com/office/drawing/2014/main" id="{00000000-0008-0000-0200-000058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Semifinal2b" spid="_x0000_s33500"/>
                </a:ext>
              </a:extLst>
            </xdr:cNvPicPr>
          </xdr:nvPicPr>
          <xdr:blipFill>
            <a:blip xmlns:r="http://schemas.openxmlformats.org/officeDocument/2006/relationships" r:embed="rId51"/>
            <a:srcRect/>
            <a:stretch>
              <a:fillRect/>
            </a:stretch>
          </xdr:blipFill>
          <xdr:spPr bwMode="auto">
            <a:xfrm>
              <a:off x="8300357" y="13923570"/>
              <a:ext cx="1387929" cy="414397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937657</xdr:colOff>
          <xdr:row>63</xdr:row>
          <xdr:rowOff>137308</xdr:rowOff>
        </xdr:from>
        <xdr:to>
          <xdr:col>8</xdr:col>
          <xdr:colOff>325336</xdr:colOff>
          <xdr:row>66</xdr:row>
          <xdr:rowOff>76694</xdr:rowOff>
        </xdr:to>
        <xdr:pic>
          <xdr:nvPicPr>
            <xdr:cNvPr id="89" name="irc_mi" descr="Bildresultat för tyskland">
              <a:extLst>
                <a:ext uri="{FF2B5EF4-FFF2-40B4-BE49-F238E27FC236}">
                  <a16:creationId xmlns:a16="http://schemas.microsoft.com/office/drawing/2014/main" id="{00000000-0008-0000-0200-000059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Final1a" spid="_x0000_s33501"/>
                </a:ext>
              </a:extLst>
            </xdr:cNvPicPr>
          </xdr:nvPicPr>
          <xdr:blipFill>
            <a:blip xmlns:r="http://schemas.openxmlformats.org/officeDocument/2006/relationships" r:embed="rId52"/>
            <a:srcRect/>
            <a:stretch>
              <a:fillRect/>
            </a:stretch>
          </xdr:blipFill>
          <xdr:spPr bwMode="auto">
            <a:xfrm>
              <a:off x="4730339" y="12346626"/>
              <a:ext cx="1379270" cy="406977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633598</xdr:colOff>
          <xdr:row>63</xdr:row>
          <xdr:rowOff>137308</xdr:rowOff>
        </xdr:from>
        <xdr:to>
          <xdr:col>12</xdr:col>
          <xdr:colOff>21277</xdr:colOff>
          <xdr:row>66</xdr:row>
          <xdr:rowOff>69272</xdr:rowOff>
        </xdr:to>
        <xdr:pic>
          <xdr:nvPicPr>
            <xdr:cNvPr id="90" name="irc_mi" descr="Bildresultat för tyskland">
              <a:extLst>
                <a:ext uri="{FF2B5EF4-FFF2-40B4-BE49-F238E27FC236}">
                  <a16:creationId xmlns:a16="http://schemas.microsoft.com/office/drawing/2014/main" id="{00000000-0008-0000-0200-00005A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Final1b" spid="_x0000_s33502"/>
                </a:ext>
              </a:extLst>
            </xdr:cNvPicPr>
          </xdr:nvPicPr>
          <xdr:blipFill>
            <a:blip xmlns:r="http://schemas.openxmlformats.org/officeDocument/2006/relationships" r:embed="rId50"/>
            <a:srcRect/>
            <a:stretch>
              <a:fillRect/>
            </a:stretch>
          </xdr:blipFill>
          <xdr:spPr bwMode="auto">
            <a:xfrm>
              <a:off x="7630143" y="12346626"/>
              <a:ext cx="1379270" cy="399555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407472</xdr:colOff>
          <xdr:row>68</xdr:row>
          <xdr:rowOff>136567</xdr:rowOff>
        </xdr:from>
        <xdr:to>
          <xdr:col>10</xdr:col>
          <xdr:colOff>570757</xdr:colOff>
          <xdr:row>71</xdr:row>
          <xdr:rowOff>68531</xdr:rowOff>
        </xdr:to>
        <xdr:pic>
          <xdr:nvPicPr>
            <xdr:cNvPr id="93" name="irc_mi" descr="Bildresultat för tyskland">
              <a:extLst>
                <a:ext uri="{FF2B5EF4-FFF2-40B4-BE49-F238E27FC236}">
                  <a16:creationId xmlns:a16="http://schemas.microsoft.com/office/drawing/2014/main" id="{00000000-0008-0000-0200-00005D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Guld" spid="_x0000_s33503"/>
                </a:ext>
              </a:extLst>
            </xdr:cNvPicPr>
          </xdr:nvPicPr>
          <xdr:blipFill>
            <a:blip xmlns:r="http://schemas.openxmlformats.org/officeDocument/2006/relationships" r:embed="rId53"/>
            <a:srcRect/>
            <a:stretch>
              <a:fillRect/>
            </a:stretch>
          </xdr:blipFill>
          <xdr:spPr bwMode="auto">
            <a:xfrm>
              <a:off x="6191745" y="13125203"/>
              <a:ext cx="1375558" cy="399555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xdr:twoCellAnchor editAs="oneCell">
    <xdr:from>
      <xdr:col>9</xdr:col>
      <xdr:colOff>171545</xdr:colOff>
      <xdr:row>73</xdr:row>
      <xdr:rowOff>1363</xdr:rowOff>
    </xdr:from>
    <xdr:to>
      <xdr:col>10</xdr:col>
      <xdr:colOff>235829</xdr:colOff>
      <xdr:row>77</xdr:row>
      <xdr:rowOff>86591</xdr:rowOff>
    </xdr:to>
    <xdr:pic>
      <xdr:nvPicPr>
        <xdr:cNvPr id="91" name="irc_mi" descr="Bildresultat för guld silver brons medalj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37" t="24067" r="1209" b="24588"/>
        <a:stretch/>
      </xdr:blipFill>
      <xdr:spPr bwMode="auto">
        <a:xfrm>
          <a:off x="6561954" y="13769318"/>
          <a:ext cx="670421" cy="708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407472</xdr:colOff>
          <xdr:row>78</xdr:row>
          <xdr:rowOff>-1</xdr:rowOff>
        </xdr:from>
        <xdr:to>
          <xdr:col>10</xdr:col>
          <xdr:colOff>570757</xdr:colOff>
          <xdr:row>80</xdr:row>
          <xdr:rowOff>87827</xdr:rowOff>
        </xdr:to>
        <xdr:pic>
          <xdr:nvPicPr>
            <xdr:cNvPr id="95" name="irc_mi" descr="Bildresultat för tyskland">
              <a:extLst>
                <a:ext uri="{FF2B5EF4-FFF2-40B4-BE49-F238E27FC236}">
                  <a16:creationId xmlns:a16="http://schemas.microsoft.com/office/drawing/2014/main" id="{00000000-0008-0000-0200-00005F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Brons" spid="_x0000_s33504"/>
                </a:ext>
              </a:extLst>
            </xdr:cNvPicPr>
          </xdr:nvPicPr>
          <xdr:blipFill>
            <a:blip xmlns:r="http://schemas.openxmlformats.org/officeDocument/2006/relationships" r:embed="rId47"/>
            <a:srcRect/>
            <a:stretch>
              <a:fillRect/>
            </a:stretch>
          </xdr:blipFill>
          <xdr:spPr bwMode="auto">
            <a:xfrm>
              <a:off x="6191745" y="14547272"/>
              <a:ext cx="1375558" cy="399555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xdr:twoCellAnchor editAs="oneCell">
    <xdr:from>
      <xdr:col>6</xdr:col>
      <xdr:colOff>34635</xdr:colOff>
      <xdr:row>82</xdr:row>
      <xdr:rowOff>138546</xdr:rowOff>
    </xdr:from>
    <xdr:to>
      <xdr:col>6</xdr:col>
      <xdr:colOff>331683</xdr:colOff>
      <xdr:row>84</xdr:row>
      <xdr:rowOff>133598</xdr:rowOff>
    </xdr:to>
    <xdr:pic>
      <xdr:nvPicPr>
        <xdr:cNvPr id="96" name="irc_mi" descr="Bildresultat för fotboll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7317" y="15309273"/>
          <a:ext cx="297048" cy="3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34636</xdr:colOff>
      <xdr:row>83</xdr:row>
      <xdr:rowOff>0</xdr:rowOff>
    </xdr:from>
    <xdr:to>
      <xdr:col>10</xdr:col>
      <xdr:colOff>369189</xdr:colOff>
      <xdr:row>84</xdr:row>
      <xdr:rowOff>131118</xdr:rowOff>
    </xdr:to>
    <xdr:pic>
      <xdr:nvPicPr>
        <xdr:cNvPr id="98" name="Bildobjekt 97" descr="Relaterad bild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032"/>
        <a:stretch/>
      </xdr:blipFill>
      <xdr:spPr bwMode="auto">
        <a:xfrm>
          <a:off x="7027107" y="15352059"/>
          <a:ext cx="334553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34636</xdr:colOff>
      <xdr:row>83</xdr:row>
      <xdr:rowOff>39730</xdr:rowOff>
    </xdr:from>
    <xdr:to>
      <xdr:col>14</xdr:col>
      <xdr:colOff>522283</xdr:colOff>
      <xdr:row>84</xdr:row>
      <xdr:rowOff>100853</xdr:rowOff>
    </xdr:to>
    <xdr:pic>
      <xdr:nvPicPr>
        <xdr:cNvPr id="100" name="irc_mi" descr="Bildresultat för straff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989" y="15391789"/>
          <a:ext cx="487647" cy="218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</xdr:row>
          <xdr:rowOff>421462</xdr:rowOff>
        </xdr:from>
        <xdr:to>
          <xdr:col>2</xdr:col>
          <xdr:colOff>1386000</xdr:colOff>
          <xdr:row>25</xdr:row>
          <xdr:rowOff>1604</xdr:rowOff>
        </xdr:to>
        <xdr:pic>
          <xdr:nvPicPr>
            <xdr:cNvPr id="34" name="irc_mi" descr="Bildresultat för tyskland">
              <a:extLst>
                <a:ext uri="{FF2B5EF4-FFF2-40B4-BE49-F238E27FC236}">
                  <a16:creationId xmlns:a16="http://schemas.microsoft.com/office/drawing/2014/main" id="{90AB0565-A63C-4E82-8D00-D268E0E23FBD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Nederländerna" spid="_x0000_s33505"/>
                </a:ext>
              </a:extLst>
            </xdr:cNvPicPr>
          </xdr:nvPicPr>
          <xdr:blipFill>
            <a:blip xmlns:r="http://schemas.openxmlformats.org/officeDocument/2006/relationships" r:embed="rId58"/>
            <a:srcRect/>
            <a:stretch>
              <a:fillRect/>
            </a:stretch>
          </xdr:blipFill>
          <xdr:spPr bwMode="auto">
            <a:xfrm>
              <a:off x="530679" y="5047891"/>
              <a:ext cx="1386000" cy="423784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</xdr:row>
          <xdr:rowOff>3204</xdr:rowOff>
        </xdr:from>
        <xdr:to>
          <xdr:col>2</xdr:col>
          <xdr:colOff>1386000</xdr:colOff>
          <xdr:row>24</xdr:row>
          <xdr:rowOff>840</xdr:rowOff>
        </xdr:to>
        <xdr:pic>
          <xdr:nvPicPr>
            <xdr:cNvPr id="35" name="irc_mi" descr="Bildresultat för tyskland">
              <a:extLst>
                <a:ext uri="{FF2B5EF4-FFF2-40B4-BE49-F238E27FC236}">
                  <a16:creationId xmlns:a16="http://schemas.microsoft.com/office/drawing/2014/main" id="{C23427B1-3920-401D-97EC-31570DC950F9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Senegal" spid="_x0000_s33506"/>
                </a:ext>
              </a:extLst>
            </xdr:cNvPicPr>
          </xdr:nvPicPr>
          <xdr:blipFill>
            <a:blip xmlns:r="http://schemas.openxmlformats.org/officeDocument/2006/relationships" r:embed="rId59"/>
            <a:srcRect/>
            <a:stretch>
              <a:fillRect/>
            </a:stretch>
          </xdr:blipFill>
          <xdr:spPr bwMode="auto">
            <a:xfrm>
              <a:off x="530679" y="4629633"/>
              <a:ext cx="1386000" cy="419457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1386000</xdr:colOff>
          <xdr:row>22</xdr:row>
          <xdr:rowOff>1964</xdr:rowOff>
        </xdr:to>
        <xdr:pic>
          <xdr:nvPicPr>
            <xdr:cNvPr id="36" name="irc_mi" descr="Bildresultat för tyskland">
              <a:extLst>
                <a:ext uri="{FF2B5EF4-FFF2-40B4-BE49-F238E27FC236}">
                  <a16:creationId xmlns:a16="http://schemas.microsoft.com/office/drawing/2014/main" id="{ACE80160-0FE5-40CF-983D-AC8B5FC09C17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Qatar" spid="_x0000_s33507"/>
                </a:ext>
              </a:extLst>
            </xdr:cNvPicPr>
          </xdr:nvPicPr>
          <xdr:blipFill>
            <a:blip xmlns:r="http://schemas.openxmlformats.org/officeDocument/2006/relationships" r:embed="rId60"/>
            <a:srcRect/>
            <a:stretch>
              <a:fillRect/>
            </a:stretch>
          </xdr:blipFill>
          <xdr:spPr bwMode="auto">
            <a:xfrm>
              <a:off x="530679" y="3782786"/>
              <a:ext cx="1386000" cy="423785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</xdr:row>
          <xdr:rowOff>6767</xdr:rowOff>
        </xdr:from>
        <xdr:to>
          <xdr:col>2</xdr:col>
          <xdr:colOff>1386000</xdr:colOff>
          <xdr:row>23</xdr:row>
          <xdr:rowOff>799</xdr:rowOff>
        </xdr:to>
        <xdr:pic>
          <xdr:nvPicPr>
            <xdr:cNvPr id="37" name="irc_mi" descr="Bildresultat för tyskland">
              <a:extLst>
                <a:ext uri="{FF2B5EF4-FFF2-40B4-BE49-F238E27FC236}">
                  <a16:creationId xmlns:a16="http://schemas.microsoft.com/office/drawing/2014/main" id="{038F722E-2DC7-43EE-860A-E7A1EDA4659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Ecuador" spid="_x0000_s33508"/>
                </a:ext>
              </a:extLst>
            </xdr:cNvPicPr>
          </xdr:nvPicPr>
          <xdr:blipFill>
            <a:blip xmlns:r="http://schemas.openxmlformats.org/officeDocument/2006/relationships" r:embed="rId61"/>
            <a:srcRect/>
            <a:stretch>
              <a:fillRect/>
            </a:stretch>
          </xdr:blipFill>
          <xdr:spPr bwMode="auto">
            <a:xfrm>
              <a:off x="530679" y="4211374"/>
              <a:ext cx="1386000" cy="415854"/>
            </a:xfrm>
            <a:prstGeom prst="rect">
              <a:avLst/>
            </a:prstGeom>
            <a:solidFill>
              <a:schemeClr val="bg1"/>
            </a:solidFill>
            <a:ln w="127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xdr:spPr>
        </xdr:pic>
        <xdr:clientData/>
      </xdr:twoCellAnchor>
    </mc:Choice>
    <mc:Fallback/>
  </mc:AlternateContent>
  <xdr:twoCellAnchor editAs="oneCell">
    <xdr:from>
      <xdr:col>8</xdr:col>
      <xdr:colOff>557892</xdr:colOff>
      <xdr:row>58</xdr:row>
      <xdr:rowOff>149679</xdr:rowOff>
    </xdr:from>
    <xdr:to>
      <xdr:col>10</xdr:col>
      <xdr:colOff>418686</xdr:colOff>
      <xdr:row>68</xdr:row>
      <xdr:rowOff>74385</xdr:rowOff>
    </xdr:to>
    <xdr:pic>
      <xdr:nvPicPr>
        <xdr:cNvPr id="38" name="Bildobjekt 37" descr="FIFA World Cup 2022 Logo PNG Vector (SVG) Free Download">
          <a:extLst>
            <a:ext uri="{FF2B5EF4-FFF2-40B4-BE49-F238E27FC236}">
              <a16:creationId xmlns:a16="http://schemas.microsoft.com/office/drawing/2014/main" id="{BDC1BC24-A211-4DD4-B98B-1CF4664F9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7142" y="11906250"/>
          <a:ext cx="1085437" cy="1557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110</xdr:row>
      <xdr:rowOff>0</xdr:rowOff>
    </xdr:from>
    <xdr:ext cx="9525" cy="9525"/>
    <xdr:pic>
      <xdr:nvPicPr>
        <xdr:cNvPr id="2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6175" y="125730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11</xdr:col>
      <xdr:colOff>0</xdr:colOff>
      <xdr:row>116</xdr:row>
      <xdr:rowOff>0</xdr:rowOff>
    </xdr:from>
    <xdr:ext cx="9525" cy="9525"/>
    <xdr:pic>
      <xdr:nvPicPr>
        <xdr:cNvPr id="3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6175" y="134302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11</xdr:col>
      <xdr:colOff>0</xdr:colOff>
      <xdr:row>118</xdr:row>
      <xdr:rowOff>0</xdr:rowOff>
    </xdr:from>
    <xdr:ext cx="9525" cy="9525"/>
    <xdr:pic>
      <xdr:nvPicPr>
        <xdr:cNvPr id="4" name="Picture 2" descr="http://stats.indextools.com/p.pl?a=1000225506876&amp;js=n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6175" y="137160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58515</xdr:colOff>
      <xdr:row>29</xdr:row>
      <xdr:rowOff>95778</xdr:rowOff>
    </xdr:from>
    <xdr:to>
      <xdr:col>1</xdr:col>
      <xdr:colOff>418515</xdr:colOff>
      <xdr:row>29</xdr:row>
      <xdr:rowOff>311778</xdr:rowOff>
    </xdr:to>
    <xdr:pic>
      <xdr:nvPicPr>
        <xdr:cNvPr id="3" name="irc_mi" descr="Bildresultat för tyskland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12913707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1</xdr:row>
      <xdr:rowOff>111331</xdr:rowOff>
    </xdr:from>
    <xdr:to>
      <xdr:col>1</xdr:col>
      <xdr:colOff>418515</xdr:colOff>
      <xdr:row>1</xdr:row>
      <xdr:rowOff>327331</xdr:rowOff>
    </xdr:to>
    <xdr:pic>
      <xdr:nvPicPr>
        <xdr:cNvPr id="5" name="Bildobjekt 4" descr="Bildresultat för argentina flagga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274617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2</xdr:row>
      <xdr:rowOff>110813</xdr:rowOff>
    </xdr:from>
    <xdr:to>
      <xdr:col>1</xdr:col>
      <xdr:colOff>418515</xdr:colOff>
      <xdr:row>2</xdr:row>
      <xdr:rowOff>326813</xdr:rowOff>
    </xdr:to>
    <xdr:pic>
      <xdr:nvPicPr>
        <xdr:cNvPr id="6" name="Bildobjekt 5" descr="Bildresultat för australien flagga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695920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3</xdr:row>
      <xdr:rowOff>110294</xdr:rowOff>
    </xdr:from>
    <xdr:to>
      <xdr:col>1</xdr:col>
      <xdr:colOff>418515</xdr:colOff>
      <xdr:row>3</xdr:row>
      <xdr:rowOff>326294</xdr:rowOff>
    </xdr:to>
    <xdr:pic>
      <xdr:nvPicPr>
        <xdr:cNvPr id="7" name="Bildobjekt 6" descr="Bildresultat för belgien flagga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1117223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4</xdr:row>
      <xdr:rowOff>109776</xdr:rowOff>
    </xdr:from>
    <xdr:to>
      <xdr:col>1</xdr:col>
      <xdr:colOff>418515</xdr:colOff>
      <xdr:row>4</xdr:row>
      <xdr:rowOff>325776</xdr:rowOff>
    </xdr:to>
    <xdr:pic>
      <xdr:nvPicPr>
        <xdr:cNvPr id="8" name="Bildobjekt 7" descr="Bildresultat för brasilien flagga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1538526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5</xdr:row>
      <xdr:rowOff>108739</xdr:rowOff>
    </xdr:from>
    <xdr:to>
      <xdr:col>1</xdr:col>
      <xdr:colOff>418515</xdr:colOff>
      <xdr:row>5</xdr:row>
      <xdr:rowOff>324739</xdr:rowOff>
    </xdr:to>
    <xdr:pic>
      <xdr:nvPicPr>
        <xdr:cNvPr id="10" name="Bildobjekt 9" descr="Bildresultat för costa rica flagga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2381132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6</xdr:row>
      <xdr:rowOff>108221</xdr:rowOff>
    </xdr:from>
    <xdr:to>
      <xdr:col>1</xdr:col>
      <xdr:colOff>418515</xdr:colOff>
      <xdr:row>6</xdr:row>
      <xdr:rowOff>324221</xdr:rowOff>
    </xdr:to>
    <xdr:pic>
      <xdr:nvPicPr>
        <xdr:cNvPr id="11" name="Bildobjekt 10" descr="Bildresultat för danmark flagga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2802435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8</xdr:row>
      <xdr:rowOff>107184</xdr:rowOff>
    </xdr:from>
    <xdr:to>
      <xdr:col>1</xdr:col>
      <xdr:colOff>418515</xdr:colOff>
      <xdr:row>8</xdr:row>
      <xdr:rowOff>323184</xdr:rowOff>
    </xdr:to>
    <xdr:pic>
      <xdr:nvPicPr>
        <xdr:cNvPr id="13" name="Bildobjekt 12" descr="Bildresultat för england flagga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3645041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9</xdr:row>
      <xdr:rowOff>106665</xdr:rowOff>
    </xdr:from>
    <xdr:to>
      <xdr:col>1</xdr:col>
      <xdr:colOff>418515</xdr:colOff>
      <xdr:row>9</xdr:row>
      <xdr:rowOff>322665</xdr:rowOff>
    </xdr:to>
    <xdr:pic>
      <xdr:nvPicPr>
        <xdr:cNvPr id="14" name="Bildobjekt 13" descr="Bildresultat för frankrike flagga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4066344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11</xdr:row>
      <xdr:rowOff>106147</xdr:rowOff>
    </xdr:from>
    <xdr:to>
      <xdr:col>1</xdr:col>
      <xdr:colOff>418515</xdr:colOff>
      <xdr:row>11</xdr:row>
      <xdr:rowOff>322147</xdr:rowOff>
    </xdr:to>
    <xdr:pic>
      <xdr:nvPicPr>
        <xdr:cNvPr id="15" name="Bildobjekt 14" descr="Bildresultat för iran flagga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4487647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12</xdr:row>
      <xdr:rowOff>105110</xdr:rowOff>
    </xdr:from>
    <xdr:to>
      <xdr:col>1</xdr:col>
      <xdr:colOff>428040</xdr:colOff>
      <xdr:row>12</xdr:row>
      <xdr:rowOff>321110</xdr:rowOff>
    </xdr:to>
    <xdr:pic>
      <xdr:nvPicPr>
        <xdr:cNvPr id="17" name="Bildobjekt 16" descr="Bildresultat för japan flagga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5330253"/>
          <a:ext cx="369525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15</xdr:row>
      <xdr:rowOff>104592</xdr:rowOff>
    </xdr:from>
    <xdr:to>
      <xdr:col>1</xdr:col>
      <xdr:colOff>428040</xdr:colOff>
      <xdr:row>15</xdr:row>
      <xdr:rowOff>320592</xdr:rowOff>
    </xdr:to>
    <xdr:pic>
      <xdr:nvPicPr>
        <xdr:cNvPr id="18" name="Bildobjekt 17" descr="Bildresultat för kroatien flagga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5751556"/>
          <a:ext cx="369525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16</xdr:row>
      <xdr:rowOff>104073</xdr:rowOff>
    </xdr:from>
    <xdr:to>
      <xdr:col>1</xdr:col>
      <xdr:colOff>418515</xdr:colOff>
      <xdr:row>16</xdr:row>
      <xdr:rowOff>320073</xdr:rowOff>
    </xdr:to>
    <xdr:pic>
      <xdr:nvPicPr>
        <xdr:cNvPr id="19" name="Bildobjekt 18" descr="Bildresultat för marocko flagga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6172859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17</xdr:row>
      <xdr:rowOff>103555</xdr:rowOff>
    </xdr:from>
    <xdr:to>
      <xdr:col>1</xdr:col>
      <xdr:colOff>418515</xdr:colOff>
      <xdr:row>17</xdr:row>
      <xdr:rowOff>319555</xdr:rowOff>
    </xdr:to>
    <xdr:pic>
      <xdr:nvPicPr>
        <xdr:cNvPr id="20" name="Bildobjekt 19" descr="Bildresultat för mexico flagga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6594162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19</xdr:row>
      <xdr:rowOff>101481</xdr:rowOff>
    </xdr:from>
    <xdr:to>
      <xdr:col>1</xdr:col>
      <xdr:colOff>418515</xdr:colOff>
      <xdr:row>19</xdr:row>
      <xdr:rowOff>317481</xdr:rowOff>
    </xdr:to>
    <xdr:pic>
      <xdr:nvPicPr>
        <xdr:cNvPr id="24" name="Bildobjekt 23" descr="Bildresultat för polen flagga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8279374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20</xdr:row>
      <xdr:rowOff>100963</xdr:rowOff>
    </xdr:from>
    <xdr:to>
      <xdr:col>1</xdr:col>
      <xdr:colOff>428040</xdr:colOff>
      <xdr:row>20</xdr:row>
      <xdr:rowOff>316963</xdr:rowOff>
    </xdr:to>
    <xdr:pic>
      <xdr:nvPicPr>
        <xdr:cNvPr id="25" name="Bildobjekt 24" descr="Bildresultat för portugal flagga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8700677"/>
          <a:ext cx="369525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22</xdr:row>
      <xdr:rowOff>99926</xdr:rowOff>
    </xdr:from>
    <xdr:to>
      <xdr:col>1</xdr:col>
      <xdr:colOff>418515</xdr:colOff>
      <xdr:row>22</xdr:row>
      <xdr:rowOff>315926</xdr:rowOff>
    </xdr:to>
    <xdr:pic>
      <xdr:nvPicPr>
        <xdr:cNvPr id="27" name="Bildobjekt 26" descr="Bildresultat för saudiarabien flagga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9543283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23</xdr:row>
      <xdr:rowOff>99407</xdr:rowOff>
    </xdr:from>
    <xdr:to>
      <xdr:col>1</xdr:col>
      <xdr:colOff>428040</xdr:colOff>
      <xdr:row>23</xdr:row>
      <xdr:rowOff>315407</xdr:rowOff>
    </xdr:to>
    <xdr:pic>
      <xdr:nvPicPr>
        <xdr:cNvPr id="30" name="Bildobjekt 29" descr="Bildresultat för schweiz flagga hd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9964586"/>
          <a:ext cx="369525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24</xdr:row>
      <xdr:rowOff>98889</xdr:rowOff>
    </xdr:from>
    <xdr:to>
      <xdr:col>1</xdr:col>
      <xdr:colOff>418515</xdr:colOff>
      <xdr:row>24</xdr:row>
      <xdr:rowOff>314889</xdr:rowOff>
    </xdr:to>
    <xdr:pic>
      <xdr:nvPicPr>
        <xdr:cNvPr id="31" name="Bildobjekt 30" descr="Bildresultat för senegal flagga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10385889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25</xdr:row>
      <xdr:rowOff>98371</xdr:rowOff>
    </xdr:from>
    <xdr:to>
      <xdr:col>1</xdr:col>
      <xdr:colOff>418515</xdr:colOff>
      <xdr:row>25</xdr:row>
      <xdr:rowOff>314371</xdr:rowOff>
    </xdr:to>
    <xdr:pic>
      <xdr:nvPicPr>
        <xdr:cNvPr id="32" name="Bildobjekt 31" descr="Bildresultat för serbien flagga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10807192"/>
          <a:ext cx="360000" cy="216000"/>
        </a:xfrm>
        <a:prstGeom prst="rect">
          <a:avLst/>
        </a:prstGeom>
        <a:noFill/>
        <a:ln w="3175">
          <a:solidFill>
            <a:schemeClr val="bg1">
              <a:lumMod val="8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26</xdr:row>
      <xdr:rowOff>97852</xdr:rowOff>
    </xdr:from>
    <xdr:to>
      <xdr:col>1</xdr:col>
      <xdr:colOff>418515</xdr:colOff>
      <xdr:row>26</xdr:row>
      <xdr:rowOff>313852</xdr:rowOff>
    </xdr:to>
    <xdr:pic>
      <xdr:nvPicPr>
        <xdr:cNvPr id="33" name="Bildobjekt 32" descr="Bildresultat för spanien flagga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11228495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27</xdr:row>
      <xdr:rowOff>96815</xdr:rowOff>
    </xdr:from>
    <xdr:to>
      <xdr:col>1</xdr:col>
      <xdr:colOff>428040</xdr:colOff>
      <xdr:row>27</xdr:row>
      <xdr:rowOff>312815</xdr:rowOff>
    </xdr:to>
    <xdr:pic>
      <xdr:nvPicPr>
        <xdr:cNvPr id="34" name="Bildobjekt 33" descr="Bildresultat för sydkorea flagga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12071101"/>
          <a:ext cx="369525" cy="216000"/>
        </a:xfrm>
        <a:prstGeom prst="rect">
          <a:avLst/>
        </a:prstGeom>
        <a:noFill/>
        <a:ln w="3175">
          <a:solidFill>
            <a:schemeClr val="bg1">
              <a:lumMod val="8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28</xdr:row>
      <xdr:rowOff>96297</xdr:rowOff>
    </xdr:from>
    <xdr:to>
      <xdr:col>1</xdr:col>
      <xdr:colOff>418515</xdr:colOff>
      <xdr:row>28</xdr:row>
      <xdr:rowOff>312297</xdr:rowOff>
    </xdr:to>
    <xdr:pic>
      <xdr:nvPicPr>
        <xdr:cNvPr id="35" name="Bildobjekt 34" descr="Bildresultat för tunisien flagga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12492404"/>
          <a:ext cx="360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58515</xdr:colOff>
      <xdr:row>30</xdr:row>
      <xdr:rowOff>95250</xdr:rowOff>
    </xdr:from>
    <xdr:to>
      <xdr:col>1</xdr:col>
      <xdr:colOff>418515</xdr:colOff>
      <xdr:row>30</xdr:row>
      <xdr:rowOff>311250</xdr:rowOff>
    </xdr:to>
    <xdr:pic>
      <xdr:nvPicPr>
        <xdr:cNvPr id="36" name="Bildobjekt 35" descr="Bildresultat för uruguay flagga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836" y="13335000"/>
          <a:ext cx="360000" cy="216000"/>
        </a:xfrm>
        <a:prstGeom prst="rect">
          <a:avLst/>
        </a:prstGeom>
        <a:noFill/>
        <a:ln w="3175">
          <a:solidFill>
            <a:schemeClr val="bg1">
              <a:lumMod val="8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6</xdr:row>
      <xdr:rowOff>304800</xdr:rowOff>
    </xdr:to>
    <xdr:sp macro="" textlink="">
      <xdr:nvSpPr>
        <xdr:cNvPr id="28674" name="AutoShape 2" descr="Ecuador – Wikipedia">
          <a:extLst>
            <a:ext uri="{FF2B5EF4-FFF2-40B4-BE49-F238E27FC236}">
              <a16:creationId xmlns:a16="http://schemas.microsoft.com/office/drawing/2014/main" id="{C7968707-53DE-6B45-9D62-6BB7F5BB2477}"/>
            </a:ext>
          </a:extLst>
        </xdr:cNvPr>
        <xdr:cNvSpPr>
          <a:spLocks noChangeAspect="1" noChangeArrowheads="1"/>
        </xdr:cNvSpPr>
      </xdr:nvSpPr>
      <xdr:spPr bwMode="auto">
        <a:xfrm>
          <a:off x="8696325" y="225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68037</xdr:colOff>
      <xdr:row>7</xdr:row>
      <xdr:rowOff>90218</xdr:rowOff>
    </xdr:from>
    <xdr:to>
      <xdr:col>1</xdr:col>
      <xdr:colOff>421822</xdr:colOff>
      <xdr:row>7</xdr:row>
      <xdr:rowOff>326572</xdr:rowOff>
    </xdr:to>
    <xdr:pic>
      <xdr:nvPicPr>
        <xdr:cNvPr id="4" name="Bildobjekt 3" descr="La Republica Ecuador">
          <a:extLst>
            <a:ext uri="{FF2B5EF4-FFF2-40B4-BE49-F238E27FC236}">
              <a16:creationId xmlns:a16="http://schemas.microsoft.com/office/drawing/2014/main" id="{EF7E99B5-B01E-CB24-06E5-D30E1D850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8" y="2784432"/>
          <a:ext cx="353785" cy="23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27217</xdr:colOff>
      <xdr:row>10</xdr:row>
      <xdr:rowOff>93802</xdr:rowOff>
    </xdr:from>
    <xdr:to>
      <xdr:col>1</xdr:col>
      <xdr:colOff>408215</xdr:colOff>
      <xdr:row>10</xdr:row>
      <xdr:rowOff>348343</xdr:rowOff>
    </xdr:to>
    <xdr:pic>
      <xdr:nvPicPr>
        <xdr:cNvPr id="28" name="Bildobjekt 27" descr="Ghana - Wikipedia">
          <a:extLst>
            <a:ext uri="{FF2B5EF4-FFF2-40B4-BE49-F238E27FC236}">
              <a16:creationId xmlns:a16="http://schemas.microsoft.com/office/drawing/2014/main" id="{FD388A70-20ED-41DC-52F8-FCCDD970D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538" y="4053481"/>
          <a:ext cx="380998" cy="25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95251</xdr:colOff>
      <xdr:row>13</xdr:row>
      <xdr:rowOff>125113</xdr:rowOff>
    </xdr:from>
    <xdr:to>
      <xdr:col>1</xdr:col>
      <xdr:colOff>394608</xdr:colOff>
      <xdr:row>13</xdr:row>
      <xdr:rowOff>325210</xdr:rowOff>
    </xdr:to>
    <xdr:pic>
      <xdr:nvPicPr>
        <xdr:cNvPr id="29" name="Bildobjekt 28" descr="CAMERUN">
          <a:extLst>
            <a:ext uri="{FF2B5EF4-FFF2-40B4-BE49-F238E27FC236}">
              <a16:creationId xmlns:a16="http://schemas.microsoft.com/office/drawing/2014/main" id="{5A5E8C8A-BA2A-A944-45B6-2DCD86941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572" y="5350256"/>
          <a:ext cx="299357" cy="200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40822</xdr:colOff>
      <xdr:row>14</xdr:row>
      <xdr:rowOff>119380</xdr:rowOff>
    </xdr:from>
    <xdr:to>
      <xdr:col>1</xdr:col>
      <xdr:colOff>449036</xdr:colOff>
      <xdr:row>14</xdr:row>
      <xdr:rowOff>323850</xdr:rowOff>
    </xdr:to>
    <xdr:pic>
      <xdr:nvPicPr>
        <xdr:cNvPr id="37" name="Bildobjekt 36">
          <a:extLst>
            <a:ext uri="{FF2B5EF4-FFF2-40B4-BE49-F238E27FC236}">
              <a16:creationId xmlns:a16="http://schemas.microsoft.com/office/drawing/2014/main" id="{D9380721-3C79-E0ED-1C06-99AFC3C90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766344"/>
          <a:ext cx="408214" cy="204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54431</xdr:colOff>
      <xdr:row>18</xdr:row>
      <xdr:rowOff>81643</xdr:rowOff>
    </xdr:from>
    <xdr:to>
      <xdr:col>1</xdr:col>
      <xdr:colOff>411079</xdr:colOff>
      <xdr:row>18</xdr:row>
      <xdr:rowOff>319768</xdr:rowOff>
    </xdr:to>
    <xdr:pic>
      <xdr:nvPicPr>
        <xdr:cNvPr id="38" name="Bildobjekt 37" descr="Nederländernas flagga">
          <a:extLst>
            <a:ext uri="{FF2B5EF4-FFF2-40B4-BE49-F238E27FC236}">
              <a16:creationId xmlns:a16="http://schemas.microsoft.com/office/drawing/2014/main" id="{9EE3731C-A431-BCBB-F5E7-8FB1854B3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2" y="7415893"/>
          <a:ext cx="356648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68037</xdr:colOff>
      <xdr:row>21</xdr:row>
      <xdr:rowOff>124302</xdr:rowOff>
    </xdr:from>
    <xdr:to>
      <xdr:col>1</xdr:col>
      <xdr:colOff>408215</xdr:colOff>
      <xdr:row>21</xdr:row>
      <xdr:rowOff>337458</xdr:rowOff>
    </xdr:to>
    <xdr:pic>
      <xdr:nvPicPr>
        <xdr:cNvPr id="40" name="Bildobjekt 39" descr="Hämta bilder Qatar Flagga, Qatar, Staten Qatar, nationella flaggor,  Mellanöstern fri. Bilder gratis skrivbordsunderlägg">
          <a:extLst>
            <a:ext uri="{FF2B5EF4-FFF2-40B4-BE49-F238E27FC236}">
              <a16:creationId xmlns:a16="http://schemas.microsoft.com/office/drawing/2014/main" id="{CFB51FC1-7A7F-C825-D160-B672898A9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8" y="8724016"/>
          <a:ext cx="340178" cy="21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54429</xdr:colOff>
      <xdr:row>31</xdr:row>
      <xdr:rowOff>115365</xdr:rowOff>
    </xdr:from>
    <xdr:to>
      <xdr:col>1</xdr:col>
      <xdr:colOff>408214</xdr:colOff>
      <xdr:row>31</xdr:row>
      <xdr:rowOff>302079</xdr:rowOff>
    </xdr:to>
    <xdr:pic>
      <xdr:nvPicPr>
        <xdr:cNvPr id="41" name="Bildobjekt 40" descr="USA:s flagga">
          <a:extLst>
            <a:ext uri="{FF2B5EF4-FFF2-40B4-BE49-F238E27FC236}">
              <a16:creationId xmlns:a16="http://schemas.microsoft.com/office/drawing/2014/main" id="{459AD1E9-980E-EBC7-66EC-54FEE2EBF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355115"/>
          <a:ext cx="353785" cy="186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68036</xdr:colOff>
      <xdr:row>32</xdr:row>
      <xdr:rowOff>93036</xdr:rowOff>
    </xdr:from>
    <xdr:to>
      <xdr:col>1</xdr:col>
      <xdr:colOff>449035</xdr:colOff>
      <xdr:row>32</xdr:row>
      <xdr:rowOff>322489</xdr:rowOff>
    </xdr:to>
    <xdr:pic>
      <xdr:nvPicPr>
        <xdr:cNvPr id="42" name="Bildobjekt 41" descr="Wales flagga">
          <a:extLst>
            <a:ext uri="{FF2B5EF4-FFF2-40B4-BE49-F238E27FC236}">
              <a16:creationId xmlns:a16="http://schemas.microsoft.com/office/drawing/2014/main" id="{C68F40DD-B637-6C9C-31E3-8EEED4B1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13754607"/>
          <a:ext cx="380999" cy="229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vm-fotboll.s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00"/>
  </sheetPr>
  <dimension ref="A1:Z245"/>
  <sheetViews>
    <sheetView showGridLines="0" tabSelected="1" topLeftCell="B1" zoomScale="85" zoomScaleNormal="85" workbookViewId="0">
      <selection activeCell="Q45" sqref="Q45"/>
    </sheetView>
  </sheetViews>
  <sheetFormatPr defaultColWidth="0" defaultRowHeight="11.25" zeroHeight="1" outlineLevelCol="1" x14ac:dyDescent="0.2"/>
  <cols>
    <col min="1" max="1" width="17.42578125" style="149" hidden="1" customWidth="1" outlineLevel="1"/>
    <col min="2" max="2" width="3.140625" style="149" customWidth="1" collapsed="1"/>
    <col min="3" max="3" width="25.7109375" style="149" customWidth="1"/>
    <col min="4" max="5" width="8.7109375" style="149" customWidth="1"/>
    <col min="6" max="6" width="17.7109375" style="149" customWidth="1"/>
    <col min="7" max="8" width="10.42578125" style="149" customWidth="1"/>
    <col min="9" max="9" width="3.7109375" style="149" customWidth="1"/>
    <col min="10" max="10" width="7.28515625" style="149" customWidth="1"/>
    <col min="11" max="11" width="29" style="149" bestFit="1" customWidth="1"/>
    <col min="12" max="12" width="8" style="149" customWidth="1"/>
    <col min="13" max="13" width="17.140625" style="149" customWidth="1"/>
    <col min="14" max="14" width="6" style="149" customWidth="1"/>
    <col min="15" max="15" width="5.5703125" style="149" customWidth="1"/>
    <col min="16" max="24" width="18" style="149" customWidth="1"/>
    <col min="25" max="25" width="9.140625" style="149" customWidth="1"/>
    <col min="26" max="26" width="3.42578125" style="149" customWidth="1"/>
    <col min="27" max="16384" width="9.140625" style="149" hidden="1"/>
  </cols>
  <sheetData>
    <row r="1" spans="1:25" ht="11.25" customHeight="1" thickBot="1" x14ac:dyDescent="0.25"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1:25" ht="25.5" customHeight="1" thickBot="1" x14ac:dyDescent="0.25">
      <c r="C2" s="365" t="s">
        <v>377</v>
      </c>
      <c r="D2" s="366" t="s">
        <v>378</v>
      </c>
      <c r="E2" s="366"/>
      <c r="F2" s="367"/>
      <c r="G2" s="367"/>
      <c r="H2" s="368"/>
      <c r="I2" s="368"/>
      <c r="J2" s="367"/>
      <c r="K2" s="367"/>
      <c r="L2" s="367"/>
      <c r="M2" s="369"/>
      <c r="N2" s="367"/>
      <c r="O2" s="367"/>
      <c r="P2" s="367"/>
      <c r="Q2" s="367"/>
      <c r="R2" s="367"/>
      <c r="S2" s="367"/>
      <c r="T2" s="367"/>
      <c r="U2" s="367"/>
      <c r="V2" s="367"/>
      <c r="W2" s="367"/>
      <c r="X2" s="367"/>
      <c r="Y2" s="370"/>
    </row>
    <row r="3" spans="1:25" s="151" customFormat="1" ht="25.5" customHeight="1" x14ac:dyDescent="0.2">
      <c r="C3" s="364" t="s">
        <v>386</v>
      </c>
      <c r="D3" s="152" t="str">
        <f>IF(SUM(J27,J38,J49,J60,J71,J82,T37,J93,J104)=0,"Alla kontroller i arket Tippa är OK","Ditt tips innehåller fel")</f>
        <v>Alla kontroller i arket Tippa är OK</v>
      </c>
      <c r="E3" s="153"/>
      <c r="F3" s="153"/>
      <c r="G3" s="154"/>
      <c r="H3" s="154"/>
      <c r="I3" s="154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</row>
    <row r="4" spans="1:25" ht="11.25" customHeight="1" x14ac:dyDescent="0.2">
      <c r="A4" s="156" t="s">
        <v>13</v>
      </c>
      <c r="C4"/>
      <c r="D4" s="157"/>
      <c r="E4" s="157"/>
      <c r="F4" s="158"/>
      <c r="G4" s="159"/>
      <c r="H4" s="160"/>
      <c r="I4" s="160"/>
      <c r="J4" s="155"/>
      <c r="K4" s="161" t="s">
        <v>43</v>
      </c>
      <c r="L4" s="162"/>
      <c r="M4" s="162"/>
      <c r="N4" s="162"/>
      <c r="O4" s="162"/>
      <c r="P4" s="162"/>
      <c r="Q4" s="162"/>
      <c r="R4" s="163" t="s">
        <v>214</v>
      </c>
      <c r="S4" s="162"/>
      <c r="T4" s="162"/>
      <c r="U4" s="162"/>
      <c r="V4" s="162"/>
      <c r="W4" s="162"/>
      <c r="X4" s="162"/>
      <c r="Y4" s="162"/>
    </row>
    <row r="5" spans="1:25" ht="11.25" customHeight="1" x14ac:dyDescent="0.2">
      <c r="A5" s="164">
        <v>1</v>
      </c>
      <c r="B5" s="165"/>
      <c r="C5" s="166" t="s">
        <v>383</v>
      </c>
      <c r="D5" s="167"/>
      <c r="E5" s="167"/>
      <c r="F5" s="168"/>
      <c r="G5" s="154"/>
      <c r="H5" s="154"/>
      <c r="I5" s="154"/>
      <c r="J5" s="155"/>
      <c r="K5" s="147" t="s">
        <v>248</v>
      </c>
      <c r="L5" s="155"/>
      <c r="M5" s="155"/>
      <c r="N5" s="155"/>
      <c r="O5" s="155"/>
      <c r="P5" s="155"/>
      <c r="Q5" s="155"/>
      <c r="R5" s="169" t="s">
        <v>184</v>
      </c>
      <c r="S5" s="155"/>
      <c r="T5" s="155"/>
      <c r="U5" s="155"/>
      <c r="V5" s="155"/>
      <c r="W5" s="155"/>
      <c r="X5" s="155"/>
      <c r="Y5" s="155"/>
    </row>
    <row r="6" spans="1:25" ht="11.25" customHeight="1" x14ac:dyDescent="0.2">
      <c r="A6" s="164">
        <v>2</v>
      </c>
      <c r="B6" s="165"/>
      <c r="C6" s="170" t="s">
        <v>33</v>
      </c>
      <c r="D6" s="168"/>
      <c r="E6" s="168"/>
      <c r="F6" s="168"/>
      <c r="G6" s="154"/>
      <c r="H6" s="154"/>
      <c r="I6" s="154"/>
      <c r="J6" s="155"/>
      <c r="K6" s="155"/>
      <c r="L6" s="155"/>
      <c r="M6" s="155"/>
      <c r="N6" s="155"/>
      <c r="O6" s="155"/>
      <c r="P6"/>
      <c r="Q6" s="155"/>
      <c r="R6" s="169" t="s">
        <v>185</v>
      </c>
      <c r="S6" s="155"/>
      <c r="T6" s="155"/>
      <c r="U6" s="155"/>
      <c r="V6" s="155"/>
      <c r="W6" s="155"/>
      <c r="X6" s="155"/>
      <c r="Y6" s="155"/>
    </row>
    <row r="7" spans="1:25" ht="11.25" customHeight="1" x14ac:dyDescent="0.2">
      <c r="A7" s="164">
        <v>3</v>
      </c>
      <c r="B7" s="165"/>
      <c r="C7" s="170" t="s">
        <v>339</v>
      </c>
      <c r="D7" s="168"/>
      <c r="E7" s="168"/>
      <c r="F7" s="168"/>
      <c r="G7" s="154"/>
      <c r="H7" s="154"/>
      <c r="I7" s="154"/>
      <c r="J7" s="155"/>
      <c r="K7" s="154"/>
      <c r="L7" s="154"/>
      <c r="M7" s="154"/>
      <c r="N7" s="154"/>
      <c r="O7" s="154"/>
      <c r="P7" s="154"/>
      <c r="Q7" s="154"/>
      <c r="R7" s="169" t="s">
        <v>186</v>
      </c>
      <c r="S7" s="154"/>
      <c r="T7" s="154"/>
      <c r="U7" s="154"/>
      <c r="V7" s="154"/>
      <c r="W7" s="154"/>
      <c r="X7" s="154"/>
      <c r="Y7" s="154"/>
    </row>
    <row r="8" spans="1:25" ht="11.25" customHeight="1" thickBot="1" x14ac:dyDescent="0.25">
      <c r="A8" s="164">
        <v>4</v>
      </c>
      <c r="B8" s="165"/>
      <c r="C8" s="171" t="s">
        <v>382</v>
      </c>
      <c r="D8" s="172"/>
      <c r="E8" s="172"/>
      <c r="F8" s="168"/>
      <c r="G8" s="154"/>
      <c r="H8" s="154"/>
      <c r="I8" s="154"/>
      <c r="J8" s="155"/>
      <c r="K8" s="172" t="s">
        <v>38</v>
      </c>
      <c r="L8" s="154"/>
      <c r="M8" s="154"/>
      <c r="N8" s="154"/>
      <c r="O8" s="154"/>
      <c r="P8" s="154"/>
      <c r="Q8" s="154"/>
      <c r="R8" s="169" t="s">
        <v>334</v>
      </c>
      <c r="S8" s="154"/>
      <c r="T8" s="154"/>
      <c r="U8" s="154"/>
      <c r="V8" s="154"/>
      <c r="W8" s="154"/>
      <c r="X8" s="154"/>
      <c r="Y8" s="154"/>
    </row>
    <row r="9" spans="1:25" ht="11.25" customHeight="1" x14ac:dyDescent="0.2">
      <c r="A9" s="173"/>
      <c r="B9" s="165"/>
      <c r="C9" s="171"/>
      <c r="D9" s="172"/>
      <c r="E9" s="172"/>
      <c r="F9" s="168"/>
      <c r="G9" s="154"/>
      <c r="H9" s="154"/>
      <c r="I9" s="154"/>
      <c r="J9" s="155"/>
      <c r="K9" s="174" t="s">
        <v>37</v>
      </c>
      <c r="L9" s="175"/>
      <c r="M9" s="176"/>
      <c r="N9" s="154"/>
      <c r="O9" s="154"/>
      <c r="P9" s="154"/>
      <c r="Q9" s="154"/>
      <c r="R9" s="169" t="s">
        <v>335</v>
      </c>
      <c r="S9" s="154"/>
      <c r="T9" s="154"/>
      <c r="U9" s="154"/>
      <c r="V9" s="154"/>
      <c r="W9" s="154"/>
      <c r="X9" s="154"/>
      <c r="Y9" s="154"/>
    </row>
    <row r="10" spans="1:25" ht="11.25" customHeight="1" x14ac:dyDescent="0.2">
      <c r="A10" s="156" t="s">
        <v>13</v>
      </c>
      <c r="C10" s="166" t="s">
        <v>34</v>
      </c>
      <c r="D10" s="167"/>
      <c r="E10" s="167"/>
      <c r="F10" s="177"/>
      <c r="G10" s="178"/>
      <c r="H10" s="179"/>
      <c r="I10" s="179"/>
      <c r="J10" s="155"/>
      <c r="K10" s="180" t="s">
        <v>35</v>
      </c>
      <c r="L10" s="155"/>
      <c r="M10" s="181" t="s">
        <v>36</v>
      </c>
      <c r="N10" s="182"/>
      <c r="O10" s="182"/>
      <c r="P10" s="182"/>
      <c r="Q10" s="182"/>
      <c r="R10" s="169" t="s">
        <v>336</v>
      </c>
      <c r="S10" s="182"/>
      <c r="T10" s="182"/>
      <c r="U10" s="182"/>
      <c r="V10" s="182"/>
      <c r="W10" s="182"/>
      <c r="X10" s="182"/>
      <c r="Y10" s="182"/>
    </row>
    <row r="11" spans="1:25" ht="11.25" customHeight="1" x14ac:dyDescent="0.2">
      <c r="A11" s="164">
        <v>0</v>
      </c>
      <c r="B11" s="165"/>
      <c r="C11" s="183" t="s">
        <v>384</v>
      </c>
      <c r="D11" s="184"/>
      <c r="E11" s="184"/>
      <c r="F11" s="177"/>
      <c r="G11" s="178"/>
      <c r="H11" s="179"/>
      <c r="I11" s="179"/>
      <c r="J11" s="155"/>
      <c r="K11" s="185">
        <v>1</v>
      </c>
      <c r="L11" s="155"/>
      <c r="M11" s="186">
        <v>0.45</v>
      </c>
      <c r="N11" s="187"/>
      <c r="O11" s="187"/>
      <c r="P11" s="187"/>
      <c r="Q11" s="187"/>
      <c r="R11" s="188" t="s">
        <v>337</v>
      </c>
      <c r="S11" s="187"/>
      <c r="T11" s="187"/>
      <c r="U11" s="187"/>
      <c r="V11" s="187"/>
      <c r="W11" s="187"/>
      <c r="X11" s="187"/>
      <c r="Y11" s="187"/>
    </row>
    <row r="12" spans="1:25" ht="11.25" customHeight="1" x14ac:dyDescent="0.2">
      <c r="A12" s="164">
        <v>1</v>
      </c>
      <c r="B12" s="165"/>
      <c r="C12" s="371" t="s">
        <v>385</v>
      </c>
      <c r="D12" s="184"/>
      <c r="E12" s="184"/>
      <c r="F12" s="177"/>
      <c r="G12" s="178"/>
      <c r="H12" s="179"/>
      <c r="I12" s="179"/>
      <c r="J12" s="155"/>
      <c r="K12" s="185">
        <v>2</v>
      </c>
      <c r="L12" s="155"/>
      <c r="M12" s="186">
        <v>0.25</v>
      </c>
      <c r="N12" s="187"/>
      <c r="O12" s="187"/>
      <c r="P12" s="187"/>
      <c r="Q12" s="187"/>
      <c r="R12" s="188" t="s">
        <v>338</v>
      </c>
      <c r="S12" s="187"/>
      <c r="T12" s="187"/>
      <c r="U12" s="187"/>
      <c r="V12" s="187"/>
      <c r="W12" s="187"/>
      <c r="X12" s="187"/>
      <c r="Y12" s="187"/>
    </row>
    <row r="13" spans="1:25" ht="11.25" customHeight="1" x14ac:dyDescent="0.2">
      <c r="A13" s="164">
        <v>2</v>
      </c>
      <c r="B13" s="165"/>
      <c r="C13" s="183" t="s">
        <v>32</v>
      </c>
      <c r="D13" s="184"/>
      <c r="E13" s="184"/>
      <c r="F13" s="177"/>
      <c r="G13" s="178"/>
      <c r="H13" s="179"/>
      <c r="I13" s="179"/>
      <c r="J13" s="155"/>
      <c r="K13" s="185">
        <v>3</v>
      </c>
      <c r="L13" s="155"/>
      <c r="M13" s="186">
        <v>0.15</v>
      </c>
      <c r="N13" s="187"/>
      <c r="O13" s="187"/>
      <c r="P13" s="187"/>
      <c r="Q13" s="187"/>
      <c r="R13" s="188"/>
      <c r="S13" s="187"/>
      <c r="T13" s="187"/>
      <c r="U13" s="187"/>
      <c r="V13" s="187"/>
      <c r="W13" s="187"/>
      <c r="X13" s="187"/>
      <c r="Y13" s="187"/>
    </row>
    <row r="14" spans="1:25" ht="11.25" customHeight="1" x14ac:dyDescent="0.2">
      <c r="A14" s="164">
        <v>3</v>
      </c>
      <c r="B14" s="165"/>
      <c r="C14" s="189"/>
      <c r="D14" s="177"/>
      <c r="E14" s="177"/>
      <c r="F14" s="177"/>
      <c r="G14" s="190"/>
      <c r="H14" s="191"/>
      <c r="I14" s="191"/>
      <c r="J14" s="155"/>
      <c r="K14" s="185">
        <v>4</v>
      </c>
      <c r="L14" s="155"/>
      <c r="M14" s="186">
        <v>0.1</v>
      </c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</row>
    <row r="15" spans="1:25" ht="11.25" customHeight="1" thickBot="1" x14ac:dyDescent="0.25">
      <c r="A15" s="164">
        <v>4</v>
      </c>
      <c r="B15" s="165"/>
      <c r="C15" s="170" t="s">
        <v>12</v>
      </c>
      <c r="D15" s="168"/>
      <c r="E15" s="168"/>
      <c r="F15" s="168"/>
      <c r="G15" s="154"/>
      <c r="H15" s="168"/>
      <c r="I15" s="154"/>
      <c r="J15" s="155"/>
      <c r="K15" s="192">
        <v>5</v>
      </c>
      <c r="L15" s="193"/>
      <c r="M15" s="194">
        <v>0.05</v>
      </c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</row>
    <row r="16" spans="1:25" ht="11.25" customHeight="1" x14ac:dyDescent="0.2">
      <c r="A16" s="164">
        <v>5</v>
      </c>
      <c r="B16" s="165"/>
      <c r="C16" s="170" t="s">
        <v>31</v>
      </c>
      <c r="D16" s="168"/>
      <c r="E16" s="168"/>
      <c r="F16" s="168"/>
      <c r="G16" s="154"/>
      <c r="H16" s="154"/>
      <c r="I16" s="154"/>
      <c r="J16" s="155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</row>
    <row r="17" spans="1:25" ht="11.25" customHeight="1" x14ac:dyDescent="0.2">
      <c r="A17" s="164">
        <v>6</v>
      </c>
      <c r="B17" s="165"/>
      <c r="C17" s="195" t="s">
        <v>342</v>
      </c>
      <c r="D17" s="196"/>
      <c r="E17" s="196"/>
      <c r="F17" s="196"/>
      <c r="G17" s="197"/>
      <c r="H17" s="197"/>
      <c r="I17" s="197"/>
      <c r="J17" s="198"/>
      <c r="K17" s="199"/>
      <c r="L17" s="199"/>
      <c r="M17" s="200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</row>
    <row r="18" spans="1:25" ht="11.25" customHeight="1" x14ac:dyDescent="0.2">
      <c r="A18" s="164">
        <v>7</v>
      </c>
      <c r="B18" s="165"/>
      <c r="C18" s="201"/>
      <c r="D18" s="202"/>
      <c r="E18" s="202"/>
      <c r="F18" s="203"/>
      <c r="G18" s="203"/>
      <c r="H18" s="204"/>
      <c r="I18" s="204"/>
      <c r="J18" s="203"/>
      <c r="K18" s="205"/>
      <c r="L18" s="203"/>
      <c r="M18" s="205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</row>
    <row r="19" spans="1:25" ht="11.25" customHeight="1" x14ac:dyDescent="0.2">
      <c r="A19" s="164">
        <v>8</v>
      </c>
      <c r="B19" s="165"/>
      <c r="C19" s="207" t="s">
        <v>241</v>
      </c>
      <c r="D19" s="208"/>
      <c r="E19" s="208"/>
      <c r="F19" s="209"/>
      <c r="G19" s="209"/>
      <c r="H19" s="210"/>
      <c r="I19" s="210"/>
      <c r="J19" s="211"/>
      <c r="K19" s="211"/>
      <c r="L19" s="211"/>
      <c r="M19" s="209"/>
      <c r="N19" s="212"/>
      <c r="O19" s="207" t="s">
        <v>242</v>
      </c>
      <c r="P19" s="208"/>
      <c r="Q19" s="208"/>
      <c r="R19" s="209"/>
      <c r="S19" s="209"/>
      <c r="T19" s="210"/>
      <c r="U19" s="210"/>
      <c r="V19" s="211"/>
      <c r="W19" s="211"/>
      <c r="X19" s="211"/>
      <c r="Y19" s="211"/>
    </row>
    <row r="20" spans="1:25" ht="11.25" customHeight="1" x14ac:dyDescent="0.2">
      <c r="A20" s="164">
        <v>9</v>
      </c>
      <c r="B20" s="165"/>
      <c r="C20" s="213" t="str">
        <f>IF(SUM(J27,J38,J49,J60,J71,J82,T37)=0,"Alla kontroller OK","Ditt tips innehåller fel")</f>
        <v>Alla kontroller OK</v>
      </c>
      <c r="D20" s="214"/>
      <c r="E20" s="214"/>
      <c r="F20" s="215"/>
      <c r="G20" s="215"/>
      <c r="H20" s="216"/>
      <c r="I20" s="216"/>
      <c r="J20" s="217"/>
      <c r="K20" s="217"/>
      <c r="L20" s="217"/>
      <c r="M20" s="215"/>
      <c r="N20" s="218"/>
      <c r="O20" s="213"/>
      <c r="P20" s="214"/>
      <c r="Q20" s="214"/>
      <c r="R20" s="215"/>
      <c r="S20" s="215"/>
      <c r="T20" s="216"/>
      <c r="U20" s="216"/>
      <c r="V20" s="217"/>
      <c r="W20" s="217"/>
      <c r="X20" s="217"/>
      <c r="Y20" s="217"/>
    </row>
    <row r="21" spans="1:25" ht="11.25" customHeight="1" x14ac:dyDescent="0.2">
      <c r="A21" s="164">
        <v>10</v>
      </c>
      <c r="B21" s="165"/>
      <c r="C21" s="219"/>
      <c r="D21" s="220"/>
      <c r="E21" s="220"/>
      <c r="F21" s="220"/>
      <c r="G21" s="220"/>
      <c r="H21" s="221"/>
      <c r="I21" s="221"/>
      <c r="J21" s="222"/>
      <c r="K21" s="205"/>
      <c r="L21" s="205"/>
      <c r="M21" s="205"/>
      <c r="N21" s="223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</row>
    <row r="22" spans="1:25" ht="11.25" customHeight="1" x14ac:dyDescent="0.2">
      <c r="A22" s="164" t="s">
        <v>13</v>
      </c>
      <c r="B22" s="165"/>
      <c r="C22" s="1" t="s">
        <v>0</v>
      </c>
      <c r="D22" s="225" t="s">
        <v>177</v>
      </c>
      <c r="E22" s="225" t="s">
        <v>178</v>
      </c>
      <c r="F22" s="226" t="s">
        <v>1</v>
      </c>
      <c r="G22" s="227" t="s">
        <v>180</v>
      </c>
      <c r="H22" s="228"/>
      <c r="I22" s="221"/>
      <c r="J22" s="229" t="s">
        <v>219</v>
      </c>
      <c r="K22" s="230" t="s">
        <v>0</v>
      </c>
      <c r="L22" s="231" t="s">
        <v>197</v>
      </c>
      <c r="M22" s="232" t="s">
        <v>246</v>
      </c>
      <c r="N22" s="223"/>
      <c r="O22" s="224"/>
      <c r="P22" s="233" t="s">
        <v>235</v>
      </c>
      <c r="Q22" s="233" t="s">
        <v>236</v>
      </c>
      <c r="R22" s="233" t="s">
        <v>237</v>
      </c>
      <c r="S22" s="233"/>
      <c r="T22" s="233" t="s">
        <v>240</v>
      </c>
      <c r="U22" s="224"/>
      <c r="V22" s="233" t="s">
        <v>237</v>
      </c>
      <c r="W22" s="233" t="s">
        <v>236</v>
      </c>
      <c r="X22" s="233" t="s">
        <v>235</v>
      </c>
      <c r="Y22" s="224"/>
    </row>
    <row r="23" spans="1:25" ht="11.25" customHeight="1" x14ac:dyDescent="0.2">
      <c r="A23" s="150" t="s">
        <v>44</v>
      </c>
      <c r="C23" s="2" t="str">
        <f>INDEX(Beräkningar!$G$4:$G$51,MATCH(A23,Beräkningar!$K$4:$K$51,0))&amp;" - "&amp;INDEX(Beräkningar!$H$4:$H$51,MATCH(A23,Beräkningar!$K$4:$K$51,0))</f>
        <v>Qatar - Ecuador</v>
      </c>
      <c r="D23" s="234" t="str">
        <f>INDEX(Beräkningar!$B$4:$B$51,MATCH(A23,Beräkningar!$K$4:$K$51,0))</f>
        <v>Sön 20/11</v>
      </c>
      <c r="E23" s="235">
        <f>INDEX(Beräkningar!$C$4:$C$51,MATCH(A23,Beräkningar!$K$4:$K$51,0))</f>
        <v>0.70833333333333337</v>
      </c>
      <c r="F23" s="236" t="str">
        <f t="shared" ref="F23:F28" si="0">IF(OR(G23="-",H23="-"),"-",IF(G23&gt;H23,1,IF(G23=H23,"X",2)))</f>
        <v>X</v>
      </c>
      <c r="G23" s="82">
        <v>1</v>
      </c>
      <c r="H23" s="82">
        <v>1</v>
      </c>
      <c r="I23" s="221"/>
      <c r="J23" s="237">
        <f>IF(M23="-",1,IF(M23=0,1,M23))</f>
        <v>1</v>
      </c>
      <c r="K23" s="238" t="str">
        <f>Beräkningar!AG4</f>
        <v>Nederländerna</v>
      </c>
      <c r="L23" s="239">
        <f>Beräkningar!AH4</f>
        <v>9</v>
      </c>
      <c r="M23" s="83" t="s">
        <v>13</v>
      </c>
      <c r="N23" s="223"/>
      <c r="O23" s="224"/>
      <c r="P23" s="236" t="str">
        <f>IF(F28="-","",Beräkningar!N52)</f>
        <v>Nederländerna</v>
      </c>
      <c r="Q23" s="240"/>
      <c r="R23" s="240"/>
      <c r="S23" s="241"/>
      <c r="T23" s="224"/>
      <c r="U23" s="224"/>
      <c r="V23" s="224"/>
      <c r="W23" s="224"/>
      <c r="X23" s="236" t="str">
        <f>IF(F39="-","",Beräkningar!N58)</f>
        <v>England</v>
      </c>
      <c r="Y23" s="224"/>
    </row>
    <row r="24" spans="1:25" ht="11.25" customHeight="1" x14ac:dyDescent="0.2">
      <c r="A24" s="150" t="s">
        <v>45</v>
      </c>
      <c r="C24" s="3" t="str">
        <f>INDEX(Beräkningar!$G$4:$G$51,MATCH(A24,Beräkningar!$K$4:$K$51,0))&amp;" - "&amp;INDEX(Beräkningar!$H$4:$H$51,MATCH(A24,Beräkningar!$K$4:$K$51,0))</f>
        <v>Senegal - Nederländerna</v>
      </c>
      <c r="D24" s="242" t="str">
        <f>INDEX(Beräkningar!$B$4:$B$51,MATCH(A24,Beräkningar!$K$4:$K$51,0))</f>
        <v>Mån 21/11</v>
      </c>
      <c r="E24" s="243">
        <f>INDEX(Beräkningar!$C$4:$C$51,MATCH(A24,Beräkningar!$K$4:$K$51,0))</f>
        <v>0.70833333333333337</v>
      </c>
      <c r="F24" s="236">
        <f t="shared" si="0"/>
        <v>2</v>
      </c>
      <c r="G24" s="82">
        <v>0</v>
      </c>
      <c r="H24" s="82">
        <v>2</v>
      </c>
      <c r="I24" s="221"/>
      <c r="J24" s="244">
        <f>IF(M24="-",2,IF(M24=0,2,M24))</f>
        <v>2</v>
      </c>
      <c r="K24" s="245" t="str">
        <f>Beräkningar!AG5</f>
        <v>Senegal</v>
      </c>
      <c r="L24" s="246">
        <f>Beräkningar!AH5</f>
        <v>6</v>
      </c>
      <c r="M24" s="83" t="s">
        <v>13</v>
      </c>
      <c r="N24" s="223"/>
      <c r="O24" s="224"/>
      <c r="P24" s="247" t="s">
        <v>234</v>
      </c>
      <c r="Q24" s="80" t="s">
        <v>345</v>
      </c>
      <c r="R24" s="240"/>
      <c r="S24" s="241"/>
      <c r="T24" s="224"/>
      <c r="U24" s="224"/>
      <c r="V24" s="224"/>
      <c r="W24" s="80" t="s">
        <v>22</v>
      </c>
      <c r="X24" s="247" t="s">
        <v>234</v>
      </c>
      <c r="Y24" s="224"/>
    </row>
    <row r="25" spans="1:25" ht="11.25" customHeight="1" x14ac:dyDescent="0.2">
      <c r="A25" s="150" t="s">
        <v>46</v>
      </c>
      <c r="C25" s="3" t="str">
        <f>INDEX(Beräkningar!$G$4:$G$51,MATCH(A25,Beräkningar!$K$4:$K$51,0))&amp;" - "&amp;INDEX(Beräkningar!$H$4:$H$51,MATCH(A25,Beräkningar!$K$4:$K$51,0))</f>
        <v>Qatar - Senegal</v>
      </c>
      <c r="D25" s="242" t="str">
        <f>INDEX(Beräkningar!$B$4:$B$51,MATCH(A25,Beräkningar!$K$4:$K$51,0))</f>
        <v>Fre 25/11</v>
      </c>
      <c r="E25" s="243">
        <f>INDEX(Beräkningar!$C$4:$C$51,MATCH(A25,Beräkningar!$K$4:$K$51,0))</f>
        <v>0.58333333333333337</v>
      </c>
      <c r="F25" s="236">
        <f t="shared" si="0"/>
        <v>2</v>
      </c>
      <c r="G25" s="82">
        <v>0</v>
      </c>
      <c r="H25" s="82">
        <v>2</v>
      </c>
      <c r="I25" s="221"/>
      <c r="J25" s="244">
        <f>IF(M25="-",3,IF(M25=0,3,M25))</f>
        <v>3</v>
      </c>
      <c r="K25" s="245" t="str">
        <f>Beräkningar!AG6</f>
        <v>Ecuador</v>
      </c>
      <c r="L25" s="246">
        <f>Beräkningar!AH6</f>
        <v>1</v>
      </c>
      <c r="M25" s="83" t="s">
        <v>13</v>
      </c>
      <c r="N25" s="223"/>
      <c r="O25" s="224"/>
      <c r="P25" s="236" t="str">
        <f>IF(F39="-","",Beräkningar!O52)</f>
        <v>USA</v>
      </c>
      <c r="Q25" s="240"/>
      <c r="R25" s="240"/>
      <c r="S25" s="241"/>
      <c r="T25" s="224"/>
      <c r="U25" s="224"/>
      <c r="V25" s="224"/>
      <c r="W25" s="240"/>
      <c r="X25" s="236" t="str">
        <f>IF(F28="-","",Beräkningar!O58)</f>
        <v>Senegal</v>
      </c>
      <c r="Y25" s="224"/>
    </row>
    <row r="26" spans="1:25" ht="11.25" customHeight="1" x14ac:dyDescent="0.2">
      <c r="A26" s="150" t="s">
        <v>47</v>
      </c>
      <c r="C26" s="3" t="str">
        <f>INDEX(Beräkningar!$G$4:$G$51,MATCH(A26,Beräkningar!$K$4:$K$51,0))&amp;" - "&amp;INDEX(Beräkningar!$H$4:$H$51,MATCH(A26,Beräkningar!$K$4:$K$51,0))</f>
        <v>Nederländerna - Ecuador</v>
      </c>
      <c r="D26" s="242" t="str">
        <f>INDEX(Beräkningar!$B$4:$B$51,MATCH(A26,Beräkningar!$K$4:$K$51,0))</f>
        <v>Fre 25/11</v>
      </c>
      <c r="E26" s="243">
        <f>INDEX(Beräkningar!$C$4:$C$51,MATCH(A26,Beräkningar!$K$4:$K$51,0))</f>
        <v>0.70833333333333337</v>
      </c>
      <c r="F26" s="236">
        <f t="shared" si="0"/>
        <v>1</v>
      </c>
      <c r="G26" s="82">
        <v>1</v>
      </c>
      <c r="H26" s="82">
        <v>0</v>
      </c>
      <c r="I26" s="221"/>
      <c r="J26" s="248">
        <f>IF(M26="-",4,IF(M26=0,4,M26))</f>
        <v>4</v>
      </c>
      <c r="K26" s="249" t="str">
        <f>Beräkningar!AG7</f>
        <v>Qatar</v>
      </c>
      <c r="L26" s="250">
        <f>Beräkningar!AH7</f>
        <v>1</v>
      </c>
      <c r="M26" s="83" t="s">
        <v>13</v>
      </c>
      <c r="N26" s="223"/>
      <c r="O26" s="224"/>
      <c r="P26" s="224"/>
      <c r="Q26" s="247" t="s">
        <v>234</v>
      </c>
      <c r="R26" s="80" t="s">
        <v>173</v>
      </c>
      <c r="S26" s="241"/>
      <c r="T26" s="247"/>
      <c r="U26" s="224"/>
      <c r="V26" s="80" t="s">
        <v>24</v>
      </c>
      <c r="W26" s="247" t="s">
        <v>234</v>
      </c>
      <c r="X26" s="224"/>
      <c r="Y26" s="224"/>
    </row>
    <row r="27" spans="1:25" ht="11.25" customHeight="1" x14ac:dyDescent="0.2">
      <c r="A27" s="150" t="s">
        <v>154</v>
      </c>
      <c r="C27" s="3" t="str">
        <f>INDEX(Beräkningar!$G$4:$G$51,MATCH(A27,Beräkningar!$K$4:$K$51,0))&amp;" - "&amp;INDEX(Beräkningar!$H$4:$H$51,MATCH(A27,Beräkningar!$K$4:$K$51,0))</f>
        <v>Ecuador - Senegal</v>
      </c>
      <c r="D27" s="242" t="str">
        <f>INDEX(Beräkningar!$B$4:$B$51,MATCH(A27,Beräkningar!$K$4:$K$51,0))</f>
        <v>Tis 29/11</v>
      </c>
      <c r="E27" s="243">
        <f>INDEX(Beräkningar!$C$4:$C$51,MATCH(A27,Beräkningar!$K$4:$K$51,0))</f>
        <v>0.66666666666666663</v>
      </c>
      <c r="F27" s="236">
        <f t="shared" si="0"/>
        <v>2</v>
      </c>
      <c r="G27" s="82">
        <v>0</v>
      </c>
      <c r="H27" s="82">
        <v>1</v>
      </c>
      <c r="I27" s="221"/>
      <c r="J27" s="79">
        <f>IF(MAX(Beräkningar!AL4:AL7)&gt;1,1,0)</f>
        <v>0</v>
      </c>
      <c r="K27" s="251" t="s">
        <v>220</v>
      </c>
      <c r="L27" s="205"/>
      <c r="M27" s="205"/>
      <c r="N27" s="223"/>
      <c r="O27" s="224"/>
      <c r="P27" s="362" t="str">
        <f>IF(F50="-","",Beräkningar!N55)</f>
        <v>Argentina</v>
      </c>
      <c r="Q27" s="240"/>
      <c r="R27" s="224"/>
      <c r="S27" s="241"/>
      <c r="T27" s="233" t="s">
        <v>238</v>
      </c>
      <c r="U27" s="224"/>
      <c r="V27" s="224"/>
      <c r="W27" s="240"/>
      <c r="X27" s="236" t="str">
        <f>IF(F61="-","",Beräkningar!N61)</f>
        <v>Frankrike</v>
      </c>
      <c r="Y27" s="224"/>
    </row>
    <row r="28" spans="1:25" ht="11.25" customHeight="1" x14ac:dyDescent="0.2">
      <c r="A28" s="150" t="s">
        <v>155</v>
      </c>
      <c r="C28" s="4" t="str">
        <f>INDEX(Beräkningar!$G$4:$G$51,MATCH(A28,Beräkningar!$K$4:$K$51,0))&amp;" - "&amp;INDEX(Beräkningar!$H$4:$H$51,MATCH(A28,Beräkningar!$K$4:$K$51,0))</f>
        <v>Nederländerna - Qatar</v>
      </c>
      <c r="D28" s="252" t="str">
        <f>INDEX(Beräkningar!$B$4:$B$51,MATCH(A28,Beräkningar!$K$4:$K$51,0))</f>
        <v>Tis 29/11</v>
      </c>
      <c r="E28" s="253">
        <f>INDEX(Beräkningar!$C$4:$C$51,MATCH(A28,Beräkningar!$K$4:$K$51,0))</f>
        <v>0.66666666666666663</v>
      </c>
      <c r="F28" s="236">
        <f t="shared" si="0"/>
        <v>1</v>
      </c>
      <c r="G28" s="82">
        <v>3</v>
      </c>
      <c r="H28" s="82">
        <v>0</v>
      </c>
      <c r="I28" s="221"/>
      <c r="J28" s="221"/>
      <c r="K28" s="221"/>
      <c r="L28" s="221"/>
      <c r="M28" s="221"/>
      <c r="N28" s="223"/>
      <c r="O28" s="224"/>
      <c r="P28" s="247" t="s">
        <v>234</v>
      </c>
      <c r="Q28" s="80" t="s">
        <v>173</v>
      </c>
      <c r="R28" s="224"/>
      <c r="S28" s="240"/>
      <c r="T28" s="80" t="s">
        <v>172</v>
      </c>
      <c r="U28" s="224"/>
      <c r="V28" s="224"/>
      <c r="W28" s="80" t="s">
        <v>24</v>
      </c>
      <c r="X28" s="247" t="s">
        <v>234</v>
      </c>
      <c r="Y28" s="224"/>
    </row>
    <row r="29" spans="1:25" ht="11.25" customHeight="1" x14ac:dyDescent="0.2">
      <c r="A29" s="150"/>
      <c r="C29" s="254" t="s">
        <v>7</v>
      </c>
      <c r="D29" s="205"/>
      <c r="E29" s="205"/>
      <c r="F29" s="205"/>
      <c r="G29" s="205"/>
      <c r="H29" s="205"/>
      <c r="I29" s="221"/>
      <c r="J29" s="222"/>
      <c r="K29" s="205"/>
      <c r="L29" s="205"/>
      <c r="M29" s="205"/>
      <c r="N29" s="223"/>
      <c r="O29" s="224"/>
      <c r="P29" s="236" t="str">
        <f>IF(F61="-","",Beräkningar!O55)</f>
        <v>Danmark</v>
      </c>
      <c r="Q29" s="240"/>
      <c r="R29" s="224"/>
      <c r="S29" s="80" t="s">
        <v>172</v>
      </c>
      <c r="T29" s="247" t="s">
        <v>234</v>
      </c>
      <c r="U29" s="80" t="s">
        <v>24</v>
      </c>
      <c r="V29" s="224"/>
      <c r="W29" s="240"/>
      <c r="X29" s="236" t="str">
        <f>IF(F50="-","",Beräkningar!O61)</f>
        <v>Mexiko</v>
      </c>
      <c r="Y29" s="224"/>
    </row>
    <row r="30" spans="1:25" ht="11.25" customHeight="1" x14ac:dyDescent="0.2">
      <c r="A30" s="150"/>
      <c r="C30" s="255" t="s">
        <v>16</v>
      </c>
      <c r="D30" s="205"/>
      <c r="E30" s="205"/>
      <c r="F30" s="205"/>
      <c r="G30" s="205"/>
      <c r="H30" s="205"/>
      <c r="I30" s="221"/>
      <c r="J30" s="222"/>
      <c r="K30" s="205"/>
      <c r="L30" s="205"/>
      <c r="M30" s="205"/>
      <c r="N30" s="223"/>
      <c r="O30" s="224"/>
      <c r="P30" s="224"/>
      <c r="Q30" s="224"/>
      <c r="R30" s="247"/>
      <c r="S30" s="240"/>
      <c r="T30" s="240"/>
      <c r="U30" s="240"/>
      <c r="V30" s="247"/>
      <c r="W30" s="224"/>
      <c r="X30" s="224"/>
      <c r="Y30" s="224"/>
    </row>
    <row r="31" spans="1:25" ht="11.25" customHeight="1" x14ac:dyDescent="0.2">
      <c r="A31" s="150"/>
      <c r="C31" s="256" t="s">
        <v>5</v>
      </c>
      <c r="D31" s="205"/>
      <c r="E31" s="205"/>
      <c r="F31" s="205"/>
      <c r="G31" s="205"/>
      <c r="H31" s="205"/>
      <c r="I31" s="221"/>
      <c r="J31" s="222"/>
      <c r="K31" s="205"/>
      <c r="L31" s="205"/>
      <c r="M31" s="205"/>
      <c r="N31" s="223"/>
      <c r="O31" s="224"/>
      <c r="P31" s="224"/>
      <c r="Q31" s="240"/>
      <c r="R31" s="247" t="s">
        <v>234</v>
      </c>
      <c r="S31" s="241"/>
      <c r="T31" s="233" t="s">
        <v>239</v>
      </c>
      <c r="U31" s="224"/>
      <c r="V31" s="247" t="s">
        <v>234</v>
      </c>
      <c r="W31" s="240"/>
      <c r="X31" s="224"/>
      <c r="Y31" s="224"/>
    </row>
    <row r="32" spans="1:25" ht="11.25" customHeight="1" x14ac:dyDescent="0.2">
      <c r="A32" s="150"/>
      <c r="C32" s="257"/>
      <c r="D32" s="258"/>
      <c r="E32" s="258"/>
      <c r="F32" s="259"/>
      <c r="G32" s="205"/>
      <c r="H32" s="260"/>
      <c r="I32" s="221"/>
      <c r="J32" s="222"/>
      <c r="K32" s="205"/>
      <c r="L32" s="205"/>
      <c r="M32" s="205"/>
      <c r="N32" s="223"/>
      <c r="O32" s="224"/>
      <c r="P32" s="236" t="str">
        <f>IF(F72="-","",Beräkningar!N70)</f>
        <v>Tyskland</v>
      </c>
      <c r="Q32" s="240"/>
      <c r="R32" s="247"/>
      <c r="S32" s="240"/>
      <c r="T32" s="80" t="s">
        <v>21</v>
      </c>
      <c r="U32" s="224"/>
      <c r="V32" s="224"/>
      <c r="W32" s="240"/>
      <c r="X32" s="236" t="str">
        <f>IF(F83="-","",Beräkningar!N76)</f>
        <v>Belgien</v>
      </c>
      <c r="Y32" s="224"/>
    </row>
    <row r="33" spans="1:25" ht="11.25" customHeight="1" x14ac:dyDescent="0.2">
      <c r="A33" s="150"/>
      <c r="C33" s="1" t="s">
        <v>6</v>
      </c>
      <c r="D33" s="225" t="s">
        <v>177</v>
      </c>
      <c r="E33" s="225" t="s">
        <v>178</v>
      </c>
      <c r="F33" s="226" t="s">
        <v>1</v>
      </c>
      <c r="G33" s="227" t="s">
        <v>180</v>
      </c>
      <c r="H33" s="261"/>
      <c r="I33" s="221"/>
      <c r="J33" s="229" t="s">
        <v>219</v>
      </c>
      <c r="K33" s="230" t="s">
        <v>6</v>
      </c>
      <c r="L33" s="231" t="s">
        <v>197</v>
      </c>
      <c r="M33" s="232" t="s">
        <v>246</v>
      </c>
      <c r="N33" s="223"/>
      <c r="O33" s="224"/>
      <c r="P33" s="247" t="s">
        <v>234</v>
      </c>
      <c r="Q33" s="80" t="s">
        <v>25</v>
      </c>
      <c r="R33" s="224"/>
      <c r="S33" s="359" t="str">
        <f>Beräkningar!X70</f>
        <v>Argentina</v>
      </c>
      <c r="T33" s="247" t="s">
        <v>234</v>
      </c>
      <c r="U33" s="359" t="str">
        <f>Beräkningar!Y70</f>
        <v>Spanien</v>
      </c>
      <c r="V33" s="224"/>
      <c r="W33" s="80" t="s">
        <v>21</v>
      </c>
      <c r="X33" s="247" t="s">
        <v>234</v>
      </c>
      <c r="Y33" s="224"/>
    </row>
    <row r="34" spans="1:25" ht="11.25" customHeight="1" x14ac:dyDescent="0.2">
      <c r="A34" s="150" t="s">
        <v>110</v>
      </c>
      <c r="C34" s="2" t="str">
        <f>INDEX(Beräkningar!$G$4:$G$51,MATCH(A34,Beräkningar!$K$4:$K$51,0))&amp;" - "&amp;INDEX(Beräkningar!$H$4:$H$51,MATCH(A34,Beräkningar!$K$4:$K$51,0))</f>
        <v>USA - Wales</v>
      </c>
      <c r="D34" s="234" t="str">
        <f>INDEX(Beräkningar!$B$4:$B$51,MATCH(A34,Beräkningar!$K$4:$K$51,0))</f>
        <v>Mån 21/11</v>
      </c>
      <c r="E34" s="235">
        <f>INDEX(Beräkningar!$C$4:$C$51,MATCH(A34,Beräkningar!$K$4:$K$51,0))</f>
        <v>0.83333333333333337</v>
      </c>
      <c r="F34" s="236" t="str">
        <f t="shared" ref="F34:F39" si="1">IF(OR(G34="-",H34="-"),"-",IF(G34&gt;H34,1,IF(G34=H34,"X",2)))</f>
        <v>X</v>
      </c>
      <c r="G34" s="82">
        <v>1</v>
      </c>
      <c r="H34" s="82">
        <v>1</v>
      </c>
      <c r="I34" s="221"/>
      <c r="J34" s="237">
        <f>IF(M34="-",1,IF(M34=0,1,M34))</f>
        <v>1</v>
      </c>
      <c r="K34" s="238" t="str">
        <f>Beräkningar!AG9</f>
        <v>England</v>
      </c>
      <c r="L34" s="239">
        <f>Beräkningar!AH9</f>
        <v>5</v>
      </c>
      <c r="M34" s="83" t="s">
        <v>13</v>
      </c>
      <c r="N34" s="223"/>
      <c r="O34" s="224"/>
      <c r="P34" s="236" t="str">
        <f>IF(F83="-","",Beräkningar!O70)</f>
        <v>Kroatien</v>
      </c>
      <c r="Q34" s="240"/>
      <c r="R34" s="224"/>
      <c r="S34" s="224"/>
      <c r="T34" s="224"/>
      <c r="U34" s="224"/>
      <c r="V34" s="224"/>
      <c r="W34" s="240"/>
      <c r="X34" s="236" t="str">
        <f>IF(F72="-","",Beräkningar!O76)</f>
        <v>Spanien</v>
      </c>
      <c r="Y34" s="224"/>
    </row>
    <row r="35" spans="1:25" ht="11.25" customHeight="1" x14ac:dyDescent="0.2">
      <c r="A35" s="150" t="s">
        <v>111</v>
      </c>
      <c r="C35" s="3" t="str">
        <f>INDEX(Beräkningar!$G$4:$G$51,MATCH(A35,Beräkningar!$K$4:$K$51,0))&amp;" - "&amp;INDEX(Beräkningar!$H$4:$H$51,MATCH(A35,Beräkningar!$K$4:$K$51,0))</f>
        <v>England - Iran</v>
      </c>
      <c r="D35" s="242" t="str">
        <f>INDEX(Beräkningar!$B$4:$B$51,MATCH(A35,Beräkningar!$K$4:$K$51,0))</f>
        <v>Mån 21/11</v>
      </c>
      <c r="E35" s="243">
        <f>INDEX(Beräkningar!$C$4:$C$51,MATCH(A35,Beräkningar!$K$4:$K$51,0))</f>
        <v>0.58333333333333337</v>
      </c>
      <c r="F35" s="236">
        <f t="shared" si="1"/>
        <v>1</v>
      </c>
      <c r="G35" s="82">
        <v>4</v>
      </c>
      <c r="H35" s="82">
        <v>0</v>
      </c>
      <c r="I35" s="221"/>
      <c r="J35" s="244">
        <f>IF(M35="-",2,IF(M35=0,2,M35))</f>
        <v>2</v>
      </c>
      <c r="K35" s="245" t="str">
        <f>Beräkningar!AG10</f>
        <v>USA</v>
      </c>
      <c r="L35" s="246">
        <f>Beräkningar!AH10</f>
        <v>5</v>
      </c>
      <c r="M35" s="83" t="s">
        <v>13</v>
      </c>
      <c r="N35" s="223"/>
      <c r="O35" s="224"/>
      <c r="P35" s="224"/>
      <c r="Q35" s="247" t="s">
        <v>234</v>
      </c>
      <c r="R35" s="80" t="s">
        <v>172</v>
      </c>
      <c r="S35" s="363"/>
      <c r="T35" s="247"/>
      <c r="U35" s="363"/>
      <c r="V35" s="80" t="s">
        <v>21</v>
      </c>
      <c r="W35" s="247" t="s">
        <v>234</v>
      </c>
      <c r="X35" s="224"/>
      <c r="Y35" s="224"/>
    </row>
    <row r="36" spans="1:25" ht="11.25" customHeight="1" x14ac:dyDescent="0.2">
      <c r="A36" s="150" t="s">
        <v>112</v>
      </c>
      <c r="C36" s="3" t="str">
        <f>INDEX(Beräkningar!$G$4:$G$51,MATCH(A36,Beräkningar!$K$4:$K$51,0))&amp;" - "&amp;INDEX(Beräkningar!$H$4:$H$51,MATCH(A36,Beräkningar!$K$4:$K$51,0))</f>
        <v>England - USA</v>
      </c>
      <c r="D36" s="242" t="str">
        <f>INDEX(Beräkningar!$B$4:$B$51,MATCH(A36,Beräkningar!$K$4:$K$51,0))</f>
        <v>Fre 25/11</v>
      </c>
      <c r="E36" s="243">
        <f>INDEX(Beräkningar!$C$4:$C$51,MATCH(A36,Beräkningar!$K$4:$K$51,0))</f>
        <v>0.83333333333333337</v>
      </c>
      <c r="F36" s="236" t="str">
        <f t="shared" si="1"/>
        <v>X</v>
      </c>
      <c r="G36" s="82">
        <v>2</v>
      </c>
      <c r="H36" s="82">
        <v>2</v>
      </c>
      <c r="I36" s="221"/>
      <c r="J36" s="244">
        <f>IF(M36="-",3,IF(M36=0,3,M36))</f>
        <v>3</v>
      </c>
      <c r="K36" s="245" t="str">
        <f>Beräkningar!AG11</f>
        <v>Wales</v>
      </c>
      <c r="L36" s="246">
        <f>Beräkningar!AH11</f>
        <v>5</v>
      </c>
      <c r="M36" s="83" t="s">
        <v>13</v>
      </c>
      <c r="N36" s="223"/>
      <c r="O36" s="224"/>
      <c r="P36" s="236" t="str">
        <f>IF(F94="-","",Beräkningar!N73)</f>
        <v>Brasilien</v>
      </c>
      <c r="Q36" s="240"/>
      <c r="R36" s="240"/>
      <c r="S36" s="241"/>
      <c r="T36" s="224"/>
      <c r="U36" s="224"/>
      <c r="V36" s="224"/>
      <c r="W36" s="240"/>
      <c r="X36" s="236" t="str">
        <f>IF(F105="-","",Beräkningar!N79)</f>
        <v>Portugal</v>
      </c>
      <c r="Y36" s="224"/>
    </row>
    <row r="37" spans="1:25" ht="11.25" customHeight="1" x14ac:dyDescent="0.2">
      <c r="A37" s="150" t="s">
        <v>113</v>
      </c>
      <c r="C37" s="3" t="str">
        <f>INDEX(Beräkningar!$G$4:$G$51,MATCH(A37,Beräkningar!$K$4:$K$51,0))&amp;" - "&amp;INDEX(Beräkningar!$H$4:$H$51,MATCH(A37,Beräkningar!$K$4:$K$51,0))</f>
        <v>Wales - Iran</v>
      </c>
      <c r="D37" s="242" t="str">
        <f>INDEX(Beräkningar!$B$4:$B$51,MATCH(A37,Beräkningar!$K$4:$K$51,0))</f>
        <v>Fre 25/11</v>
      </c>
      <c r="E37" s="243">
        <f>INDEX(Beräkningar!$C$4:$C$51,MATCH(A37,Beräkningar!$K$4:$K$51,0))</f>
        <v>0.45833333333333331</v>
      </c>
      <c r="F37" s="236">
        <f t="shared" si="1"/>
        <v>1</v>
      </c>
      <c r="G37" s="82">
        <v>2</v>
      </c>
      <c r="H37" s="82">
        <v>0</v>
      </c>
      <c r="I37" s="221"/>
      <c r="J37" s="248">
        <f>IF(M37="-",4,IF(M37=0,4,M37))</f>
        <v>4</v>
      </c>
      <c r="K37" s="249" t="str">
        <f>Beräkningar!AG12</f>
        <v>Iran</v>
      </c>
      <c r="L37" s="250">
        <f>Beräkningar!AH12</f>
        <v>0</v>
      </c>
      <c r="M37" s="83" t="s">
        <v>13</v>
      </c>
      <c r="N37" s="223"/>
      <c r="O37" s="224"/>
      <c r="P37" s="247" t="s">
        <v>234</v>
      </c>
      <c r="Q37" s="80" t="s">
        <v>172</v>
      </c>
      <c r="R37" s="240"/>
      <c r="S37" s="241"/>
      <c r="T37" s="130">
        <f>Beräkningar!U84</f>
        <v>0</v>
      </c>
      <c r="U37" s="224"/>
      <c r="V37" s="224"/>
      <c r="W37" s="80" t="s">
        <v>26</v>
      </c>
      <c r="X37" s="247" t="s">
        <v>234</v>
      </c>
      <c r="Y37" s="224"/>
    </row>
    <row r="38" spans="1:25" ht="11.25" customHeight="1" x14ac:dyDescent="0.2">
      <c r="A38" s="150" t="s">
        <v>158</v>
      </c>
      <c r="C38" s="3" t="str">
        <f>INDEX(Beräkningar!$G$4:$G$51,MATCH(A38,Beräkningar!$K$4:$K$51,0))&amp;" - "&amp;INDEX(Beräkningar!$H$4:$H$51,MATCH(A38,Beräkningar!$K$4:$K$51,0))</f>
        <v>Iran - USA</v>
      </c>
      <c r="D38" s="242" t="str">
        <f>INDEX(Beräkningar!$B$4:$B$51,MATCH(A38,Beräkningar!$K$4:$K$51,0))</f>
        <v>Tis 29/11</v>
      </c>
      <c r="E38" s="243">
        <f>INDEX(Beräkningar!$C$4:$C$51,MATCH(A38,Beräkningar!$K$4:$K$51,0))</f>
        <v>0.83333333333333337</v>
      </c>
      <c r="F38" s="236">
        <f t="shared" si="1"/>
        <v>2</v>
      </c>
      <c r="G38" s="82">
        <v>1</v>
      </c>
      <c r="H38" s="82">
        <v>3</v>
      </c>
      <c r="I38" s="221"/>
      <c r="J38" s="79">
        <f>IF(MAX(Beräkningar!AL9:AL12)&gt;1,1,0)</f>
        <v>0</v>
      </c>
      <c r="K38" s="251" t="s">
        <v>220</v>
      </c>
      <c r="L38" s="205"/>
      <c r="M38" s="205"/>
      <c r="N38" s="223"/>
      <c r="O38" s="224"/>
      <c r="P38" s="236" t="str">
        <f>IF(F105="-","",Beräkningar!O73)</f>
        <v>Uruguay</v>
      </c>
      <c r="Q38" s="240"/>
      <c r="R38" s="240"/>
      <c r="S38" s="241"/>
      <c r="T38" s="247" t="s">
        <v>333</v>
      </c>
      <c r="U38" s="224"/>
      <c r="V38" s="224"/>
      <c r="W38" s="224"/>
      <c r="X38" s="236" t="str">
        <f>IF(F94="-","",Beräkningar!O79)</f>
        <v>Kamerun</v>
      </c>
      <c r="Y38" s="224"/>
    </row>
    <row r="39" spans="1:25" ht="11.25" customHeight="1" x14ac:dyDescent="0.2">
      <c r="A39" s="150" t="s">
        <v>159</v>
      </c>
      <c r="C39" s="4" t="str">
        <f>INDEX(Beräkningar!$G$4:$G$51,MATCH(A39,Beräkningar!$K$4:$K$51,0))&amp;" - "&amp;INDEX(Beräkningar!$H$4:$H$51,MATCH(A39,Beräkningar!$K$4:$K$51,0))</f>
        <v>Wales - England</v>
      </c>
      <c r="D39" s="252" t="str">
        <f>INDEX(Beräkningar!$B$4:$B$51,MATCH(A39,Beräkningar!$K$4:$K$51,0))</f>
        <v>Tis 29/11</v>
      </c>
      <c r="E39" s="253">
        <f>INDEX(Beräkningar!$C$4:$C$51,MATCH(A39,Beräkningar!$K$4:$K$51,0))</f>
        <v>0.83333333333333337</v>
      </c>
      <c r="F39" s="236" t="str">
        <f t="shared" si="1"/>
        <v>X</v>
      </c>
      <c r="G39" s="82">
        <v>1</v>
      </c>
      <c r="H39" s="82">
        <v>1</v>
      </c>
      <c r="I39" s="221"/>
      <c r="J39" s="205"/>
      <c r="K39" s="205"/>
      <c r="L39" s="205"/>
      <c r="M39" s="205"/>
      <c r="N39" s="223"/>
      <c r="O39" s="224"/>
      <c r="P39" s="224"/>
      <c r="Q39" s="224"/>
      <c r="R39" s="240"/>
      <c r="S39" s="224"/>
      <c r="T39" s="224"/>
      <c r="U39" s="224"/>
      <c r="V39" s="224"/>
      <c r="W39" s="224"/>
      <c r="X39" s="224"/>
      <c r="Y39" s="224"/>
    </row>
    <row r="40" spans="1:25" ht="11.25" customHeight="1" x14ac:dyDescent="0.2">
      <c r="A40" s="150"/>
      <c r="C40" s="254" t="s">
        <v>7</v>
      </c>
      <c r="D40" s="205"/>
      <c r="E40" s="205"/>
      <c r="F40" s="205"/>
      <c r="G40" s="221"/>
      <c r="H40" s="221"/>
      <c r="I40" s="221"/>
      <c r="J40" s="205"/>
      <c r="K40" s="205"/>
      <c r="L40" s="205"/>
      <c r="M40" s="205"/>
      <c r="N40" s="223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</row>
    <row r="41" spans="1:25" ht="11.25" customHeight="1" x14ac:dyDescent="0.2">
      <c r="A41" s="150"/>
      <c r="C41" s="255" t="s">
        <v>16</v>
      </c>
      <c r="D41" s="205"/>
      <c r="E41" s="205"/>
      <c r="F41" s="205"/>
      <c r="G41" s="221"/>
      <c r="H41" s="221"/>
      <c r="I41" s="221"/>
      <c r="J41" s="205"/>
      <c r="K41" s="205"/>
      <c r="L41" s="262"/>
      <c r="M41" s="205"/>
      <c r="N41" s="223"/>
      <c r="O41" s="263" t="s">
        <v>243</v>
      </c>
      <c r="P41" s="264"/>
      <c r="Q41" s="264"/>
      <c r="R41" s="265"/>
      <c r="S41" s="265"/>
      <c r="T41" s="266"/>
      <c r="U41" s="266"/>
      <c r="V41" s="267"/>
      <c r="W41" s="265"/>
      <c r="X41" s="265"/>
      <c r="Y41" s="265"/>
    </row>
    <row r="42" spans="1:25" ht="11.25" customHeight="1" x14ac:dyDescent="0.2">
      <c r="A42" s="150"/>
      <c r="C42" s="256" t="s">
        <v>5</v>
      </c>
      <c r="D42" s="205"/>
      <c r="E42" s="205"/>
      <c r="F42" s="205"/>
      <c r="G42" s="221"/>
      <c r="H42" s="221"/>
      <c r="I42" s="221"/>
      <c r="J42" s="205"/>
      <c r="K42" s="205"/>
      <c r="L42" s="205"/>
      <c r="M42" s="205"/>
      <c r="N42" s="223"/>
      <c r="O42" s="268"/>
      <c r="P42" s="269"/>
      <c r="Q42" s="269"/>
      <c r="R42" s="270"/>
      <c r="S42" s="270"/>
      <c r="T42" s="270"/>
      <c r="U42" s="270"/>
      <c r="V42" s="270"/>
      <c r="W42" s="270"/>
      <c r="X42" s="270"/>
      <c r="Y42" s="270"/>
    </row>
    <row r="43" spans="1:25" ht="11.25" customHeight="1" x14ac:dyDescent="0.2">
      <c r="A43" s="150"/>
      <c r="C43" s="271"/>
      <c r="D43" s="258"/>
      <c r="E43" s="258"/>
      <c r="F43" s="259"/>
      <c r="G43" s="260"/>
      <c r="H43" s="260"/>
      <c r="I43" s="221"/>
      <c r="J43" s="205"/>
      <c r="K43" s="205"/>
      <c r="L43" s="205"/>
      <c r="M43" s="205"/>
      <c r="N43" s="223"/>
      <c r="O43" s="272"/>
      <c r="P43" s="273"/>
      <c r="Q43" s="273"/>
      <c r="R43" s="274"/>
      <c r="S43" s="274"/>
      <c r="T43" s="274"/>
      <c r="U43" s="274"/>
      <c r="V43" s="274"/>
      <c r="W43" s="274"/>
      <c r="X43" s="274"/>
      <c r="Y43" s="274"/>
    </row>
    <row r="44" spans="1:25" ht="11.25" customHeight="1" x14ac:dyDescent="0.2">
      <c r="A44" s="150"/>
      <c r="C44" s="1" t="s">
        <v>8</v>
      </c>
      <c r="D44" s="225" t="s">
        <v>177</v>
      </c>
      <c r="E44" s="225" t="s">
        <v>178</v>
      </c>
      <c r="F44" s="226" t="s">
        <v>1</v>
      </c>
      <c r="G44" s="227" t="s">
        <v>180</v>
      </c>
      <c r="H44" s="261"/>
      <c r="I44" s="221"/>
      <c r="J44" s="229" t="s">
        <v>219</v>
      </c>
      <c r="K44" s="230" t="s">
        <v>8</v>
      </c>
      <c r="L44" s="231" t="s">
        <v>197</v>
      </c>
      <c r="M44" s="232" t="s">
        <v>246</v>
      </c>
      <c r="N44" s="223"/>
      <c r="O44" s="275"/>
      <c r="P44" s="276" t="s">
        <v>39</v>
      </c>
      <c r="Q44" s="277" t="s">
        <v>379</v>
      </c>
      <c r="R44" s="278"/>
      <c r="S44" s="278"/>
      <c r="T44" s="279"/>
      <c r="U44" s="279"/>
      <c r="V44" s="280"/>
      <c r="W44" s="274"/>
      <c r="X44" s="274"/>
      <c r="Y44" s="274"/>
    </row>
    <row r="45" spans="1:25" ht="11.25" customHeight="1" x14ac:dyDescent="0.2">
      <c r="A45" s="150" t="s">
        <v>114</v>
      </c>
      <c r="C45" s="2" t="str">
        <f>INDEX(Beräkningar!$G$4:$G$51,MATCH(A45,Beräkningar!$K$4:$K$51,0))&amp;" - "&amp;INDEX(Beräkningar!$H$4:$H$51,MATCH(A45,Beräkningar!$K$4:$K$51,0))</f>
        <v>Argentina - Saudiarabien</v>
      </c>
      <c r="D45" s="234" t="str">
        <f>INDEX(Beräkningar!$B$4:$B$51,MATCH(A45,Beräkningar!$K$4:$K$51,0))</f>
        <v>Tis 22/11</v>
      </c>
      <c r="E45" s="235">
        <f>INDEX(Beräkningar!$C$4:$C$51,MATCH(A45,Beräkningar!$K$4:$K$51,0))</f>
        <v>0.45833333333333331</v>
      </c>
      <c r="F45" s="236">
        <f t="shared" ref="F45:F50" si="2">IF(OR(G45="-",H45="-"),"-",IF(G45&gt;H45,1,IF(G45=H45,"X",2)))</f>
        <v>1</v>
      </c>
      <c r="G45" s="82">
        <v>4</v>
      </c>
      <c r="H45" s="82">
        <v>0</v>
      </c>
      <c r="I45" s="221"/>
      <c r="J45" s="237">
        <f>IF(M45="-",1,IF(M45=0,1,M45))</f>
        <v>1</v>
      </c>
      <c r="K45" s="238" t="str">
        <f>Beräkningar!AG14</f>
        <v>Argentina</v>
      </c>
      <c r="L45" s="239">
        <f>Beräkningar!AH14</f>
        <v>7</v>
      </c>
      <c r="M45" s="83" t="s">
        <v>13</v>
      </c>
      <c r="N45" s="223"/>
      <c r="O45" s="272"/>
      <c r="P45" s="80" t="s">
        <v>390</v>
      </c>
      <c r="Q45" s="277"/>
      <c r="R45" s="274"/>
      <c r="S45" s="274"/>
      <c r="T45" s="279"/>
      <c r="U45" s="279"/>
      <c r="V45" s="280"/>
      <c r="W45" s="274"/>
      <c r="X45" s="274"/>
      <c r="Y45" s="274"/>
    </row>
    <row r="46" spans="1:25" ht="11.25" customHeight="1" x14ac:dyDescent="0.2">
      <c r="A46" s="150" t="s">
        <v>115</v>
      </c>
      <c r="C46" s="3" t="str">
        <f>INDEX(Beräkningar!$G$4:$G$51,MATCH(A46,Beräkningar!$K$4:$K$51,0))&amp;" - "&amp;INDEX(Beräkningar!$H$4:$H$51,MATCH(A46,Beräkningar!$K$4:$K$51,0))</f>
        <v>Mexiko - Polen</v>
      </c>
      <c r="D46" s="242" t="str">
        <f>INDEX(Beräkningar!$B$4:$B$51,MATCH(A46,Beräkningar!$K$4:$K$51,0))</f>
        <v>Tis 22/11</v>
      </c>
      <c r="E46" s="243">
        <f>INDEX(Beräkningar!$C$4:$C$51,MATCH(A46,Beräkningar!$K$4:$K$51,0))</f>
        <v>0.70833333333333337</v>
      </c>
      <c r="F46" s="236">
        <f t="shared" si="2"/>
        <v>1</v>
      </c>
      <c r="G46" s="82">
        <v>2</v>
      </c>
      <c r="H46" s="82">
        <v>1</v>
      </c>
      <c r="I46" s="221"/>
      <c r="J46" s="244">
        <f>IF(M46="-",2,IF(M46=0,2,M46))</f>
        <v>2</v>
      </c>
      <c r="K46" s="245" t="str">
        <f>Beräkningar!AG15</f>
        <v>Mexiko</v>
      </c>
      <c r="L46" s="246">
        <f>Beräkningar!AH15</f>
        <v>7</v>
      </c>
      <c r="M46" s="83" t="s">
        <v>13</v>
      </c>
      <c r="N46" s="223"/>
      <c r="O46" s="275"/>
      <c r="P46" s="274"/>
      <c r="Q46" s="277"/>
      <c r="R46" s="274"/>
      <c r="S46" s="274"/>
      <c r="T46" s="279"/>
      <c r="U46" s="279"/>
      <c r="V46" s="280"/>
      <c r="W46" s="274"/>
      <c r="X46" s="274"/>
      <c r="Y46" s="274"/>
    </row>
    <row r="47" spans="1:25" ht="11.25" customHeight="1" x14ac:dyDescent="0.2">
      <c r="A47" s="150" t="s">
        <v>116</v>
      </c>
      <c r="C47" s="3" t="str">
        <f>INDEX(Beräkningar!$G$4:$G$51,MATCH(A47,Beräkningar!$K$4:$K$51,0))&amp;" - "&amp;INDEX(Beräkningar!$H$4:$H$51,MATCH(A47,Beräkningar!$K$4:$K$51,0))</f>
        <v>Polen - Saudiarabien</v>
      </c>
      <c r="D47" s="242" t="str">
        <f>INDEX(Beräkningar!$B$4:$B$51,MATCH(A47,Beräkningar!$K$4:$K$51,0))</f>
        <v>Lör 26/11</v>
      </c>
      <c r="E47" s="243">
        <f>INDEX(Beräkningar!$C$4:$C$51,MATCH(A47,Beräkningar!$K$4:$K$51,0))</f>
        <v>0.58333333333333337</v>
      </c>
      <c r="F47" s="236">
        <f t="shared" si="2"/>
        <v>1</v>
      </c>
      <c r="G47" s="82">
        <v>1</v>
      </c>
      <c r="H47" s="82">
        <v>0</v>
      </c>
      <c r="I47" s="221"/>
      <c r="J47" s="244">
        <f>IF(M47="-",3,IF(M47=0,3,M47))</f>
        <v>3</v>
      </c>
      <c r="K47" s="245" t="str">
        <f>Beräkningar!AG16</f>
        <v>Polen</v>
      </c>
      <c r="L47" s="246">
        <f>Beräkningar!AH16</f>
        <v>3</v>
      </c>
      <c r="M47" s="83" t="s">
        <v>13</v>
      </c>
      <c r="N47" s="223"/>
      <c r="O47" s="275"/>
      <c r="P47" s="274"/>
      <c r="Q47" s="277"/>
      <c r="R47" s="274"/>
      <c r="S47" s="274"/>
      <c r="T47" s="279"/>
      <c r="U47" s="279"/>
      <c r="V47" s="280"/>
      <c r="W47" s="274"/>
      <c r="X47" s="274"/>
      <c r="Y47" s="274"/>
    </row>
    <row r="48" spans="1:25" ht="11.25" customHeight="1" x14ac:dyDescent="0.2">
      <c r="A48" s="150" t="s">
        <v>117</v>
      </c>
      <c r="C48" s="3" t="str">
        <f>INDEX(Beräkningar!$G$4:$G$51,MATCH(A48,Beräkningar!$K$4:$K$51,0))&amp;" - "&amp;INDEX(Beräkningar!$H$4:$H$51,MATCH(A48,Beräkningar!$K$4:$K$51,0))</f>
        <v>Argentina - Mexiko</v>
      </c>
      <c r="D48" s="242" t="str">
        <f>INDEX(Beräkningar!$B$4:$B$51,MATCH(A48,Beräkningar!$K$4:$K$51,0))</f>
        <v>Lör 26/11</v>
      </c>
      <c r="E48" s="243">
        <f>INDEX(Beräkningar!$C$4:$C$51,MATCH(A48,Beräkningar!$K$4:$K$51,0))</f>
        <v>0.83333333333333337</v>
      </c>
      <c r="F48" s="236" t="str">
        <f t="shared" si="2"/>
        <v>X</v>
      </c>
      <c r="G48" s="82">
        <v>2</v>
      </c>
      <c r="H48" s="82">
        <v>2</v>
      </c>
      <c r="I48" s="221"/>
      <c r="J48" s="248">
        <f>IF(M48="-",4,IF(M48=0,4,M48))</f>
        <v>4</v>
      </c>
      <c r="K48" s="249" t="str">
        <f>Beräkningar!AG17</f>
        <v>Saudiarabien</v>
      </c>
      <c r="L48" s="250">
        <f>Beräkningar!AH17</f>
        <v>0</v>
      </c>
      <c r="M48" s="83" t="s">
        <v>13</v>
      </c>
      <c r="N48" s="223"/>
      <c r="O48" s="263" t="s">
        <v>244</v>
      </c>
      <c r="P48" s="264"/>
      <c r="Q48" s="264"/>
      <c r="R48" s="265"/>
      <c r="S48" s="265"/>
      <c r="T48" s="266"/>
      <c r="U48" s="266"/>
      <c r="V48" s="267"/>
      <c r="W48" s="265"/>
      <c r="X48" s="265"/>
      <c r="Y48" s="265"/>
    </row>
    <row r="49" spans="1:25" ht="11.25" customHeight="1" x14ac:dyDescent="0.2">
      <c r="A49" s="150" t="s">
        <v>160</v>
      </c>
      <c r="C49" s="3" t="str">
        <f>INDEX(Beräkningar!$G$4:$G$51,MATCH(A49,Beräkningar!$K$4:$K$51,0))&amp;" - "&amp;INDEX(Beräkningar!$H$4:$H$51,MATCH(A49,Beräkningar!$K$4:$K$51,0))</f>
        <v>Saudiarabien - Mexiko</v>
      </c>
      <c r="D49" s="242" t="str">
        <f>INDEX(Beräkningar!$B$4:$B$51,MATCH(A49,Beräkningar!$K$4:$K$51,0))</f>
        <v>Ons 30/11</v>
      </c>
      <c r="E49" s="243">
        <f>INDEX(Beräkningar!$C$4:$C$51,MATCH(A49,Beräkningar!$K$4:$K$51,0))</f>
        <v>0.83333333333333337</v>
      </c>
      <c r="F49" s="236">
        <f t="shared" si="2"/>
        <v>2</v>
      </c>
      <c r="G49" s="82">
        <v>0</v>
      </c>
      <c r="H49" s="82">
        <v>2</v>
      </c>
      <c r="I49" s="221"/>
      <c r="J49" s="79">
        <f>IF(MAX(Beräkningar!AL14:AL17)&gt;1,1,0)</f>
        <v>0</v>
      </c>
      <c r="K49" s="251" t="s">
        <v>220</v>
      </c>
      <c r="L49" s="205"/>
      <c r="M49" s="205"/>
      <c r="N49" s="223"/>
      <c r="O49" s="268"/>
      <c r="P49" s="269"/>
      <c r="Q49" s="269"/>
      <c r="R49" s="270"/>
      <c r="S49" s="270"/>
      <c r="T49" s="270"/>
      <c r="U49" s="270"/>
      <c r="V49" s="270"/>
      <c r="W49" s="270"/>
      <c r="X49" s="270"/>
      <c r="Y49" s="270"/>
    </row>
    <row r="50" spans="1:25" ht="11.25" customHeight="1" x14ac:dyDescent="0.2">
      <c r="A50" s="150" t="s">
        <v>161</v>
      </c>
      <c r="C50" s="4" t="str">
        <f>INDEX(Beräkningar!$G$4:$G$51,MATCH(A50,Beräkningar!$K$4:$K$51,0))&amp;" - "&amp;INDEX(Beräkningar!$H$4:$H$51,MATCH(A50,Beräkningar!$K$4:$K$51,0))</f>
        <v>Polen - Argentina</v>
      </c>
      <c r="D50" s="252" t="str">
        <f>INDEX(Beräkningar!$B$4:$B$51,MATCH(A50,Beräkningar!$K$4:$K$51,0))</f>
        <v>Ons 30/11</v>
      </c>
      <c r="E50" s="253">
        <f>INDEX(Beräkningar!$C$4:$C$51,MATCH(A50,Beräkningar!$K$4:$K$51,0))</f>
        <v>0.83333333333333337</v>
      </c>
      <c r="F50" s="236">
        <f t="shared" si="2"/>
        <v>2</v>
      </c>
      <c r="G50" s="82">
        <v>1</v>
      </c>
      <c r="H50" s="82">
        <v>2</v>
      </c>
      <c r="I50" s="221"/>
      <c r="J50" s="205"/>
      <c r="K50" s="205"/>
      <c r="L50" s="205"/>
      <c r="M50" s="205"/>
      <c r="N50" s="223"/>
      <c r="O50" s="272"/>
      <c r="P50" s="273"/>
      <c r="Q50" s="273"/>
      <c r="R50" s="274"/>
      <c r="S50" s="274"/>
      <c r="T50" s="274"/>
      <c r="U50" s="274"/>
      <c r="V50" s="274"/>
      <c r="W50" s="274"/>
      <c r="X50" s="274"/>
      <c r="Y50" s="274"/>
    </row>
    <row r="51" spans="1:25" ht="11.25" customHeight="1" x14ac:dyDescent="0.2">
      <c r="A51" s="150"/>
      <c r="C51" s="254" t="s">
        <v>7</v>
      </c>
      <c r="D51" s="205"/>
      <c r="E51" s="205"/>
      <c r="F51" s="205"/>
      <c r="G51" s="221"/>
      <c r="H51" s="221"/>
      <c r="I51" s="221"/>
      <c r="J51" s="205"/>
      <c r="K51" s="205"/>
      <c r="L51" s="205"/>
      <c r="M51" s="205"/>
      <c r="N51" s="223"/>
      <c r="O51" s="272"/>
      <c r="P51" s="276" t="s">
        <v>10</v>
      </c>
      <c r="Q51" s="277" t="s">
        <v>380</v>
      </c>
      <c r="R51" s="278"/>
      <c r="S51" s="278"/>
      <c r="T51" s="278"/>
      <c r="U51" s="279"/>
      <c r="V51" s="280"/>
      <c r="W51" s="274"/>
      <c r="X51" s="274"/>
      <c r="Y51" s="274"/>
    </row>
    <row r="52" spans="1:25" ht="11.25" customHeight="1" x14ac:dyDescent="0.2">
      <c r="A52" s="150"/>
      <c r="C52" s="255" t="s">
        <v>16</v>
      </c>
      <c r="D52" s="205"/>
      <c r="E52" s="205"/>
      <c r="F52" s="205"/>
      <c r="G52" s="221"/>
      <c r="H52" s="221"/>
      <c r="I52" s="221"/>
      <c r="J52" s="205"/>
      <c r="K52" s="205"/>
      <c r="L52" s="205"/>
      <c r="M52" s="205"/>
      <c r="N52" s="223"/>
      <c r="O52" s="272"/>
      <c r="P52" s="80" t="s">
        <v>211</v>
      </c>
      <c r="Q52" s="274"/>
      <c r="R52" s="274"/>
      <c r="S52" s="274"/>
      <c r="T52" s="279"/>
      <c r="U52" s="279"/>
      <c r="V52" s="280"/>
      <c r="W52" s="274"/>
      <c r="X52" s="274"/>
      <c r="Y52" s="274"/>
    </row>
    <row r="53" spans="1:25" ht="11.25" customHeight="1" x14ac:dyDescent="0.2">
      <c r="A53" s="150"/>
      <c r="C53" s="256" t="s">
        <v>5</v>
      </c>
      <c r="D53" s="205"/>
      <c r="E53" s="205"/>
      <c r="F53" s="205"/>
      <c r="G53" s="221"/>
      <c r="H53" s="221"/>
      <c r="I53" s="221"/>
      <c r="J53" s="205"/>
      <c r="K53" s="205"/>
      <c r="L53" s="205"/>
      <c r="M53" s="205"/>
      <c r="N53" s="223"/>
      <c r="O53" s="275"/>
      <c r="P53" s="274"/>
      <c r="Q53" s="274"/>
      <c r="R53" s="274"/>
      <c r="S53" s="274"/>
      <c r="T53" s="279"/>
      <c r="U53" s="279"/>
      <c r="V53" s="280"/>
      <c r="W53" s="274"/>
      <c r="X53" s="274"/>
      <c r="Y53" s="274"/>
    </row>
    <row r="54" spans="1:25" ht="11.25" customHeight="1" x14ac:dyDescent="0.2">
      <c r="A54" s="150"/>
      <c r="C54" s="257"/>
      <c r="D54" s="258"/>
      <c r="E54" s="258"/>
      <c r="F54" s="259"/>
      <c r="G54" s="260"/>
      <c r="H54" s="260"/>
      <c r="I54" s="221"/>
      <c r="J54" s="205"/>
      <c r="K54" s="205"/>
      <c r="L54" s="205"/>
      <c r="M54" s="205"/>
      <c r="N54" s="223"/>
      <c r="O54" s="275"/>
      <c r="P54" s="274"/>
      <c r="Q54" s="274"/>
      <c r="R54" s="274"/>
      <c r="S54" s="274"/>
      <c r="T54" s="279"/>
      <c r="U54" s="279"/>
      <c r="V54" s="280"/>
      <c r="W54" s="274"/>
      <c r="X54" s="274"/>
      <c r="Y54" s="274"/>
    </row>
    <row r="55" spans="1:25" ht="11.25" customHeight="1" x14ac:dyDescent="0.2">
      <c r="A55" s="150"/>
      <c r="C55" s="1" t="s">
        <v>9</v>
      </c>
      <c r="D55" s="225" t="s">
        <v>177</v>
      </c>
      <c r="E55" s="225" t="s">
        <v>178</v>
      </c>
      <c r="F55" s="226" t="s">
        <v>1</v>
      </c>
      <c r="G55" s="227" t="s">
        <v>180</v>
      </c>
      <c r="H55" s="261"/>
      <c r="I55" s="221"/>
      <c r="J55" s="229" t="s">
        <v>219</v>
      </c>
      <c r="K55" s="230" t="s">
        <v>9</v>
      </c>
      <c r="L55" s="231" t="s">
        <v>197</v>
      </c>
      <c r="M55" s="232" t="s">
        <v>246</v>
      </c>
      <c r="N55" s="223"/>
      <c r="O55" s="263" t="s">
        <v>245</v>
      </c>
      <c r="P55" s="264"/>
      <c r="Q55" s="264"/>
      <c r="R55" s="265"/>
      <c r="S55" s="265"/>
      <c r="T55" s="266"/>
      <c r="U55" s="266"/>
      <c r="V55" s="267"/>
      <c r="W55" s="265"/>
      <c r="X55" s="265"/>
      <c r="Y55" s="265"/>
    </row>
    <row r="56" spans="1:25" ht="11.25" customHeight="1" x14ac:dyDescent="0.2">
      <c r="A56" s="150" t="s">
        <v>118</v>
      </c>
      <c r="C56" s="2" t="str">
        <f>INDEX(Beräkningar!$G$4:$G$51,MATCH(A56,Beräkningar!$K$4:$K$51,0))&amp;" - "&amp;INDEX(Beräkningar!$H$4:$H$51,MATCH(A56,Beräkningar!$K$4:$K$51,0))</f>
        <v>Frankrike - Australien</v>
      </c>
      <c r="D56" s="234" t="str">
        <f>INDEX(Beräkningar!$B$4:$B$51,MATCH(A56,Beräkningar!$K$4:$K$51,0))</f>
        <v>Tis 22/11</v>
      </c>
      <c r="E56" s="235">
        <f>INDEX(Beräkningar!$C$4:$C$51,MATCH(A56,Beräkningar!$K$4:$K$51,0))</f>
        <v>0.83333333333333337</v>
      </c>
      <c r="F56" s="236">
        <f t="shared" ref="F56:F61" si="3">IF(OR(G56="-",H56="-"),"-",IF(G56&gt;H56,1,IF(G56=H56,"X",2)))</f>
        <v>1</v>
      </c>
      <c r="G56" s="82">
        <v>4</v>
      </c>
      <c r="H56" s="82">
        <v>0</v>
      </c>
      <c r="I56" s="221"/>
      <c r="J56" s="237">
        <f>IF(M56="-",1,IF(M56=0,1,M56))</f>
        <v>1</v>
      </c>
      <c r="K56" s="238" t="str">
        <f>Beräkningar!AG19</f>
        <v>Frankrike</v>
      </c>
      <c r="L56" s="239">
        <f>Beräkningar!AH19</f>
        <v>9</v>
      </c>
      <c r="M56" s="83" t="s">
        <v>13</v>
      </c>
      <c r="N56" s="223"/>
      <c r="O56" s="268"/>
      <c r="P56" s="269"/>
      <c r="Q56" s="269"/>
      <c r="R56" s="270"/>
      <c r="S56" s="270"/>
      <c r="T56" s="270"/>
      <c r="U56" s="270"/>
      <c r="V56" s="270"/>
      <c r="W56" s="270"/>
      <c r="X56" s="270"/>
      <c r="Y56" s="270"/>
    </row>
    <row r="57" spans="1:25" ht="11.25" customHeight="1" x14ac:dyDescent="0.2">
      <c r="A57" s="150" t="s">
        <v>119</v>
      </c>
      <c r="C57" s="3" t="str">
        <f>INDEX(Beräkningar!$G$4:$G$51,MATCH(A57,Beräkningar!$K$4:$K$51,0))&amp;" - "&amp;INDEX(Beräkningar!$H$4:$H$51,MATCH(A57,Beräkningar!$K$4:$K$51,0))</f>
        <v>Danmark - Tunisien</v>
      </c>
      <c r="D57" s="242" t="str">
        <f>INDEX(Beräkningar!$B$4:$B$51,MATCH(A57,Beräkningar!$K$4:$K$51,0))</f>
        <v>Tis 22/11</v>
      </c>
      <c r="E57" s="243">
        <f>INDEX(Beräkningar!$C$4:$C$51,MATCH(A57,Beräkningar!$K$4:$K$51,0))</f>
        <v>0.58333333333333337</v>
      </c>
      <c r="F57" s="236">
        <f t="shared" si="3"/>
        <v>1</v>
      </c>
      <c r="G57" s="82">
        <v>2</v>
      </c>
      <c r="H57" s="82">
        <v>1</v>
      </c>
      <c r="I57" s="221"/>
      <c r="J57" s="244">
        <f>IF(M57="-",2,IF(M57=0,2,M57))</f>
        <v>2</v>
      </c>
      <c r="K57" s="245" t="str">
        <f>Beräkningar!AG20</f>
        <v>Danmark</v>
      </c>
      <c r="L57" s="246">
        <f>Beräkningar!AH20</f>
        <v>6</v>
      </c>
      <c r="M57" s="83" t="s">
        <v>13</v>
      </c>
      <c r="N57" s="223"/>
      <c r="O57" s="272"/>
      <c r="P57" s="273"/>
      <c r="Q57" s="273"/>
      <c r="R57" s="274"/>
      <c r="S57" s="274"/>
      <c r="T57" s="274"/>
      <c r="U57" s="274"/>
      <c r="V57" s="274"/>
      <c r="W57" s="274"/>
      <c r="X57" s="274"/>
      <c r="Y57" s="274"/>
    </row>
    <row r="58" spans="1:25" ht="11.25" customHeight="1" x14ac:dyDescent="0.2">
      <c r="A58" s="150" t="s">
        <v>120</v>
      </c>
      <c r="C58" s="3" t="str">
        <f>INDEX(Beräkningar!$G$4:$G$51,MATCH(A58,Beräkningar!$K$4:$K$51,0))&amp;" - "&amp;INDEX(Beräkningar!$H$4:$H$51,MATCH(A58,Beräkningar!$K$4:$K$51,0))</f>
        <v>Frankrike - Danmark</v>
      </c>
      <c r="D58" s="242" t="str">
        <f>INDEX(Beräkningar!$B$4:$B$51,MATCH(A58,Beräkningar!$K$4:$K$51,0))</f>
        <v>Lör 26/11</v>
      </c>
      <c r="E58" s="243">
        <f>INDEX(Beräkningar!$C$4:$C$51,MATCH(A58,Beräkningar!$K$4:$K$51,0))</f>
        <v>0.70833333333333337</v>
      </c>
      <c r="F58" s="236">
        <f t="shared" si="3"/>
        <v>1</v>
      </c>
      <c r="G58" s="82">
        <v>1</v>
      </c>
      <c r="H58" s="82">
        <v>0</v>
      </c>
      <c r="I58" s="221"/>
      <c r="J58" s="244">
        <f>IF(M58="-",3,IF(M58=0,3,M58))</f>
        <v>3</v>
      </c>
      <c r="K58" s="245" t="str">
        <f>Beräkningar!AG21</f>
        <v>Tunisien</v>
      </c>
      <c r="L58" s="246">
        <f>Beräkningar!AH21</f>
        <v>1</v>
      </c>
      <c r="M58" s="83" t="s">
        <v>13</v>
      </c>
      <c r="N58" s="223"/>
      <c r="O58" s="272"/>
      <c r="P58" s="276" t="s">
        <v>10</v>
      </c>
      <c r="Q58" s="277" t="s">
        <v>381</v>
      </c>
      <c r="R58" s="278"/>
      <c r="S58" s="278"/>
      <c r="T58" s="279"/>
      <c r="U58" s="279"/>
      <c r="V58" s="280"/>
      <c r="W58" s="274"/>
      <c r="X58" s="274"/>
      <c r="Y58" s="274"/>
    </row>
    <row r="59" spans="1:25" ht="11.25" customHeight="1" x14ac:dyDescent="0.2">
      <c r="A59" s="150" t="s">
        <v>121</v>
      </c>
      <c r="C59" s="3" t="str">
        <f>INDEX(Beräkningar!$G$4:$G$51,MATCH(A59,Beräkningar!$K$4:$K$51,0))&amp;" - "&amp;INDEX(Beräkningar!$H$4:$H$51,MATCH(A59,Beräkningar!$K$4:$K$51,0))</f>
        <v>Tunisien - Australien</v>
      </c>
      <c r="D59" s="242" t="str">
        <f>INDEX(Beräkningar!$B$4:$B$51,MATCH(A59,Beräkningar!$K$4:$K$51,0))</f>
        <v>Lör 26/11</v>
      </c>
      <c r="E59" s="243">
        <f>INDEX(Beräkningar!$C$4:$C$51,MATCH(A59,Beräkningar!$K$4:$K$51,0))</f>
        <v>0.45833333333333331</v>
      </c>
      <c r="F59" s="236" t="str">
        <f t="shared" si="3"/>
        <v>X</v>
      </c>
      <c r="G59" s="82">
        <v>1</v>
      </c>
      <c r="H59" s="82">
        <v>1</v>
      </c>
      <c r="I59" s="221"/>
      <c r="J59" s="248">
        <f>IF(M59="-",4,IF(M59=0,4,M59))</f>
        <v>4</v>
      </c>
      <c r="K59" s="249" t="str">
        <f>Beräkningar!AG22</f>
        <v>Australien</v>
      </c>
      <c r="L59" s="250">
        <f>Beräkningar!AH22</f>
        <v>1</v>
      </c>
      <c r="M59" s="83" t="s">
        <v>13</v>
      </c>
      <c r="N59" s="223"/>
      <c r="O59" s="272"/>
      <c r="P59" s="80" t="s">
        <v>343</v>
      </c>
      <c r="Q59" s="274"/>
      <c r="R59" s="274"/>
      <c r="S59" s="274"/>
      <c r="T59" s="279"/>
      <c r="U59" s="279"/>
      <c r="V59" s="280"/>
      <c r="W59" s="274"/>
      <c r="X59" s="274"/>
      <c r="Y59" s="274"/>
    </row>
    <row r="60" spans="1:25" ht="11.25" customHeight="1" x14ac:dyDescent="0.2">
      <c r="A60" s="150" t="s">
        <v>164</v>
      </c>
      <c r="C60" s="3" t="str">
        <f>INDEX(Beräkningar!$G$4:$G$51,MATCH(A60,Beräkningar!$K$4:$K$51,0))&amp;" - "&amp;INDEX(Beräkningar!$H$4:$H$51,MATCH(A60,Beräkningar!$K$4:$K$51,0))</f>
        <v>Australien - Danmark</v>
      </c>
      <c r="D60" s="242" t="str">
        <f>INDEX(Beräkningar!$B$4:$B$51,MATCH(A60,Beräkningar!$K$4:$K$51,0))</f>
        <v>Ons 30/11</v>
      </c>
      <c r="E60" s="243">
        <f>INDEX(Beräkningar!$C$4:$C$51,MATCH(A60,Beräkningar!$K$4:$K$51,0))</f>
        <v>0.66666666666666663</v>
      </c>
      <c r="F60" s="236">
        <f t="shared" si="3"/>
        <v>2</v>
      </c>
      <c r="G60" s="82">
        <v>0</v>
      </c>
      <c r="H60" s="82">
        <v>3</v>
      </c>
      <c r="I60" s="221"/>
      <c r="J60" s="79">
        <f>IF(MAX(Beräkningar!AL19:AL22)&gt;1,1,0)</f>
        <v>0</v>
      </c>
      <c r="K60" s="251" t="s">
        <v>220</v>
      </c>
      <c r="L60" s="205"/>
      <c r="M60" s="205"/>
      <c r="N60" s="223"/>
      <c r="O60" s="272"/>
      <c r="P60" s="274"/>
      <c r="Q60" s="274"/>
      <c r="R60" s="274"/>
      <c r="S60" s="274"/>
      <c r="T60" s="279"/>
      <c r="U60" s="279"/>
      <c r="V60" s="280"/>
      <c r="W60" s="274"/>
      <c r="X60" s="274"/>
      <c r="Y60" s="274"/>
    </row>
    <row r="61" spans="1:25" ht="11.25" customHeight="1" x14ac:dyDescent="0.2">
      <c r="A61" s="150" t="s">
        <v>165</v>
      </c>
      <c r="C61" s="4" t="str">
        <f>INDEX(Beräkningar!$G$4:$G$51,MATCH(A61,Beräkningar!$K$4:$K$51,0))&amp;" - "&amp;INDEX(Beräkningar!$H$4:$H$51,MATCH(A61,Beräkningar!$K$4:$K$51,0))</f>
        <v>Tunisien - Frankrike</v>
      </c>
      <c r="D61" s="252" t="str">
        <f>INDEX(Beräkningar!$B$4:$B$51,MATCH(A61,Beräkningar!$K$4:$K$51,0))</f>
        <v>Ons 30/11</v>
      </c>
      <c r="E61" s="253">
        <f>INDEX(Beräkningar!$C$4:$C$51,MATCH(A61,Beräkningar!$K$4:$K$51,0))</f>
        <v>0.66666666666666663</v>
      </c>
      <c r="F61" s="236">
        <f t="shared" si="3"/>
        <v>2</v>
      </c>
      <c r="G61" s="82">
        <v>0</v>
      </c>
      <c r="H61" s="82">
        <v>2</v>
      </c>
      <c r="I61" s="221"/>
      <c r="J61" s="205"/>
      <c r="K61" s="205"/>
      <c r="L61" s="205"/>
      <c r="M61" s="205"/>
      <c r="N61" s="223"/>
      <c r="O61" s="272"/>
      <c r="P61" s="274"/>
      <c r="Q61" s="274"/>
      <c r="R61" s="274"/>
      <c r="S61" s="274"/>
      <c r="T61" s="279"/>
      <c r="U61" s="279"/>
      <c r="V61" s="280"/>
      <c r="W61" s="274"/>
      <c r="X61" s="274"/>
      <c r="Y61" s="274"/>
    </row>
    <row r="62" spans="1:25" ht="11.25" customHeight="1" x14ac:dyDescent="0.2">
      <c r="A62" s="150"/>
      <c r="C62" s="254" t="s">
        <v>7</v>
      </c>
      <c r="D62" s="205"/>
      <c r="E62" s="205"/>
      <c r="F62" s="205"/>
      <c r="G62" s="221"/>
      <c r="H62" s="221"/>
      <c r="I62" s="221"/>
      <c r="J62" s="205"/>
      <c r="K62" s="205"/>
      <c r="L62" s="205"/>
      <c r="M62" s="205"/>
      <c r="N62" s="223"/>
      <c r="O62" s="263" t="s">
        <v>251</v>
      </c>
      <c r="P62" s="265"/>
      <c r="Q62" s="265"/>
      <c r="R62" s="266"/>
      <c r="S62" s="266"/>
      <c r="T62" s="267"/>
      <c r="U62" s="265"/>
      <c r="V62" s="265"/>
      <c r="W62" s="265"/>
      <c r="X62" s="274"/>
      <c r="Y62" s="274"/>
    </row>
    <row r="63" spans="1:25" ht="11.25" customHeight="1" x14ac:dyDescent="0.2">
      <c r="A63" s="150"/>
      <c r="C63" s="255" t="s">
        <v>16</v>
      </c>
      <c r="D63" s="205"/>
      <c r="E63" s="205"/>
      <c r="F63" s="205"/>
      <c r="G63" s="221"/>
      <c r="H63" s="221"/>
      <c r="I63" s="221"/>
      <c r="J63" s="205"/>
      <c r="K63" s="205"/>
      <c r="L63" s="205"/>
      <c r="M63" s="205"/>
      <c r="N63" s="223"/>
      <c r="O63" s="268"/>
      <c r="P63" s="270"/>
      <c r="Q63" s="270"/>
      <c r="R63" s="281"/>
      <c r="S63" s="281"/>
      <c r="T63" s="282"/>
      <c r="U63" s="270"/>
      <c r="V63" s="270"/>
      <c r="W63" s="270"/>
      <c r="X63" s="274"/>
      <c r="Y63" s="274"/>
    </row>
    <row r="64" spans="1:25" ht="11.25" customHeight="1" x14ac:dyDescent="0.2">
      <c r="A64" s="150"/>
      <c r="C64" s="256" t="s">
        <v>5</v>
      </c>
      <c r="D64" s="205"/>
      <c r="E64" s="205"/>
      <c r="F64" s="205"/>
      <c r="G64" s="221"/>
      <c r="H64" s="221"/>
      <c r="I64" s="221"/>
      <c r="J64" s="205"/>
      <c r="K64" s="205"/>
      <c r="L64" s="205"/>
      <c r="M64" s="205"/>
      <c r="N64" s="223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</row>
    <row r="65" spans="1:25" ht="11.25" customHeight="1" x14ac:dyDescent="0.2">
      <c r="A65" s="150"/>
      <c r="C65" s="283"/>
      <c r="D65" s="284"/>
      <c r="E65" s="284"/>
      <c r="F65" s="205"/>
      <c r="G65" s="221"/>
      <c r="H65" s="221"/>
      <c r="I65" s="221"/>
      <c r="J65" s="205"/>
      <c r="K65" s="205"/>
      <c r="L65" s="205"/>
      <c r="M65" s="205"/>
      <c r="N65" s="223"/>
      <c r="O65" s="274"/>
      <c r="P65" s="276" t="s">
        <v>39</v>
      </c>
      <c r="Q65" s="277" t="s">
        <v>30</v>
      </c>
      <c r="R65" s="274"/>
      <c r="S65" s="274"/>
      <c r="T65" s="274"/>
      <c r="U65" s="274"/>
      <c r="V65" s="274"/>
      <c r="W65" s="274"/>
      <c r="X65" s="274"/>
      <c r="Y65" s="274"/>
    </row>
    <row r="66" spans="1:25" ht="11.25" customHeight="1" x14ac:dyDescent="0.2">
      <c r="A66" s="150"/>
      <c r="C66" s="1" t="s">
        <v>17</v>
      </c>
      <c r="D66" s="225" t="s">
        <v>177</v>
      </c>
      <c r="E66" s="225" t="s">
        <v>178</v>
      </c>
      <c r="F66" s="226" t="s">
        <v>1</v>
      </c>
      <c r="G66" s="227" t="s">
        <v>180</v>
      </c>
      <c r="H66" s="261"/>
      <c r="I66" s="221"/>
      <c r="J66" s="229" t="s">
        <v>219</v>
      </c>
      <c r="K66" s="230" t="s">
        <v>17</v>
      </c>
      <c r="L66" s="231" t="s">
        <v>197</v>
      </c>
      <c r="M66" s="232" t="s">
        <v>246</v>
      </c>
      <c r="N66" s="223"/>
      <c r="O66" s="274"/>
      <c r="P66" s="80" t="s">
        <v>387</v>
      </c>
      <c r="Q66" s="274"/>
      <c r="R66" s="274"/>
      <c r="S66" s="274"/>
      <c r="T66" s="274"/>
      <c r="U66" s="274"/>
      <c r="V66" s="274"/>
      <c r="W66" s="274"/>
      <c r="X66" s="274"/>
      <c r="Y66" s="274"/>
    </row>
    <row r="67" spans="1:25" ht="11.25" customHeight="1" x14ac:dyDescent="0.2">
      <c r="A67" s="150" t="s">
        <v>122</v>
      </c>
      <c r="C67" s="2" t="str">
        <f>INDEX(Beräkningar!$G$4:$G$51,MATCH(A67,Beräkningar!$K$4:$K$51,0))&amp;" - "&amp;INDEX(Beräkningar!$H$4:$H$51,MATCH(A67,Beräkningar!$K$4:$K$51,0))</f>
        <v>Tyskland - Japan</v>
      </c>
      <c r="D67" s="234" t="str">
        <f>INDEX(Beräkningar!$B$4:$B$51,MATCH(A67,Beräkningar!$K$4:$K$51,0))</f>
        <v>Ons 23/11</v>
      </c>
      <c r="E67" s="235">
        <f>INDEX(Beräkningar!$C$4:$C$51,MATCH(A67,Beräkningar!$K$4:$K$51,0))</f>
        <v>0.58333333333333337</v>
      </c>
      <c r="F67" s="236">
        <f t="shared" ref="F67:F72" si="4">IF(OR(G67="-",H67="-"),"-",IF(G67&gt;H67,1,IF(G67=H67,"X",2)))</f>
        <v>1</v>
      </c>
      <c r="G67" s="82">
        <v>3</v>
      </c>
      <c r="H67" s="82">
        <v>1</v>
      </c>
      <c r="I67" s="221"/>
      <c r="J67" s="237">
        <f>IF(M67="-",1,IF(M67=0,1,M67))</f>
        <v>1</v>
      </c>
      <c r="K67" s="238" t="str">
        <f>Beräkningar!AG24</f>
        <v>Tyskland</v>
      </c>
      <c r="L67" s="239">
        <f>Beräkningar!AH24</f>
        <v>7</v>
      </c>
      <c r="M67" s="83" t="s">
        <v>13</v>
      </c>
      <c r="N67" s="223"/>
      <c r="O67" s="274"/>
      <c r="P67" s="80" t="s">
        <v>388</v>
      </c>
      <c r="Q67" s="274"/>
      <c r="R67" s="274"/>
      <c r="S67" s="274"/>
      <c r="T67" s="274"/>
      <c r="U67" s="274"/>
      <c r="V67" s="274"/>
      <c r="W67" s="274"/>
      <c r="X67" s="274"/>
      <c r="Y67" s="274"/>
    </row>
    <row r="68" spans="1:25" ht="11.25" customHeight="1" x14ac:dyDescent="0.2">
      <c r="A68" s="150" t="s">
        <v>123</v>
      </c>
      <c r="C68" s="3" t="str">
        <f>INDEX(Beräkningar!$G$4:$G$51,MATCH(A68,Beräkningar!$K$4:$K$51,0))&amp;" - "&amp;INDEX(Beräkningar!$H$4:$H$51,MATCH(A68,Beräkningar!$K$4:$K$51,0))</f>
        <v>Spanien - Costa Rica</v>
      </c>
      <c r="D68" s="242" t="str">
        <f>INDEX(Beräkningar!$B$4:$B$51,MATCH(A68,Beräkningar!$K$4:$K$51,0))</f>
        <v>Ons 23/11</v>
      </c>
      <c r="E68" s="243">
        <f>INDEX(Beräkningar!$C$4:$C$51,MATCH(A68,Beräkningar!$K$4:$K$51,0))</f>
        <v>0.70833333333333337</v>
      </c>
      <c r="F68" s="236">
        <f t="shared" si="4"/>
        <v>1</v>
      </c>
      <c r="G68" s="82">
        <v>3</v>
      </c>
      <c r="H68" s="82">
        <v>1</v>
      </c>
      <c r="I68" s="221"/>
      <c r="J68" s="244">
        <f>IF(M68="-",2,IF(M68=0,2,M68))</f>
        <v>2</v>
      </c>
      <c r="K68" s="245" t="str">
        <f>Beräkningar!AG25</f>
        <v>Spanien</v>
      </c>
      <c r="L68" s="246">
        <f>Beräkningar!AH25</f>
        <v>5</v>
      </c>
      <c r="M68" s="83" t="s">
        <v>13</v>
      </c>
      <c r="N68" s="223"/>
      <c r="O68" s="274"/>
      <c r="P68" s="80" t="s">
        <v>389</v>
      </c>
      <c r="Q68" s="274"/>
      <c r="R68" s="274"/>
      <c r="S68" s="274"/>
      <c r="T68" s="274"/>
      <c r="U68" s="274"/>
      <c r="V68" s="274"/>
      <c r="W68" s="274"/>
      <c r="X68" s="274"/>
      <c r="Y68" s="274"/>
    </row>
    <row r="69" spans="1:25" ht="11.25" customHeight="1" x14ac:dyDescent="0.2">
      <c r="A69" s="150" t="s">
        <v>124</v>
      </c>
      <c r="C69" s="3" t="str">
        <f>INDEX(Beräkningar!$G$4:$G$51,MATCH(A69,Beräkningar!$K$4:$K$51,0))&amp;" - "&amp;INDEX(Beräkningar!$H$4:$H$51,MATCH(A69,Beräkningar!$K$4:$K$51,0))</f>
        <v>Japan - Costa Rica</v>
      </c>
      <c r="D69" s="242" t="str">
        <f>INDEX(Beräkningar!$B$4:$B$51,MATCH(A69,Beräkningar!$K$4:$K$51,0))</f>
        <v>Sön 27/11</v>
      </c>
      <c r="E69" s="243">
        <f>INDEX(Beräkningar!$C$4:$C$51,MATCH(A69,Beräkningar!$K$4:$K$51,0))</f>
        <v>0.45833333333333331</v>
      </c>
      <c r="F69" s="236">
        <f t="shared" si="4"/>
        <v>1</v>
      </c>
      <c r="G69" s="82">
        <v>1</v>
      </c>
      <c r="H69" s="82">
        <v>0</v>
      </c>
      <c r="I69" s="221"/>
      <c r="J69" s="244">
        <f>IF(M69="-",3,IF(M69=0,3,M69))</f>
        <v>3</v>
      </c>
      <c r="K69" s="245" t="str">
        <f>Beräkningar!AG26</f>
        <v>Japan</v>
      </c>
      <c r="L69" s="246">
        <f>Beräkningar!AH26</f>
        <v>4</v>
      </c>
      <c r="M69" s="83" t="s">
        <v>13</v>
      </c>
      <c r="N69" s="223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</row>
    <row r="70" spans="1:25" ht="11.25" customHeight="1" x14ac:dyDescent="0.2">
      <c r="A70" s="150" t="s">
        <v>125</v>
      </c>
      <c r="C70" s="3" t="str">
        <f>INDEX(Beräkningar!$G$4:$G$51,MATCH(A70,Beräkningar!$K$4:$K$51,0))&amp;" - "&amp;INDEX(Beräkningar!$H$4:$H$51,MATCH(A70,Beräkningar!$K$4:$K$51,0))</f>
        <v>Spanien - Tyskland</v>
      </c>
      <c r="D70" s="242" t="str">
        <f>INDEX(Beräkningar!$B$4:$B$51,MATCH(A70,Beräkningar!$K$4:$K$51,0))</f>
        <v>Sön 27/11</v>
      </c>
      <c r="E70" s="243">
        <f>INDEX(Beräkningar!$C$4:$C$51,MATCH(A70,Beräkningar!$K$4:$K$51,0))</f>
        <v>0.83333333333333337</v>
      </c>
      <c r="F70" s="236" t="str">
        <f t="shared" si="4"/>
        <v>X</v>
      </c>
      <c r="G70" s="82">
        <v>2</v>
      </c>
      <c r="H70" s="82">
        <v>2</v>
      </c>
      <c r="I70" s="221"/>
      <c r="J70" s="248">
        <f>IF(M70="-",4,IF(M70=0,4,M70))</f>
        <v>4</v>
      </c>
      <c r="K70" s="249" t="str">
        <f>Beräkningar!AG27</f>
        <v>Costa Rica</v>
      </c>
      <c r="L70" s="250">
        <f>Beräkningar!AH27</f>
        <v>0</v>
      </c>
      <c r="M70" s="83" t="s">
        <v>13</v>
      </c>
      <c r="N70" s="223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</row>
    <row r="71" spans="1:25" ht="11.25" customHeight="1" x14ac:dyDescent="0.2">
      <c r="A71" s="150" t="s">
        <v>162</v>
      </c>
      <c r="C71" s="3" t="str">
        <f>INDEX(Beräkningar!$G$4:$G$51,MATCH(A71,Beräkningar!$K$4:$K$51,0))&amp;" - "&amp;INDEX(Beräkningar!$H$4:$H$51,MATCH(A71,Beräkningar!$K$4:$K$51,0))</f>
        <v>Costa Rica - Tyskland</v>
      </c>
      <c r="D71" s="242" t="str">
        <f>INDEX(Beräkningar!$B$4:$B$51,MATCH(A71,Beräkningar!$K$4:$K$51,0))</f>
        <v>Tor 1/12</v>
      </c>
      <c r="E71" s="243">
        <f>INDEX(Beräkningar!$C$4:$C$51,MATCH(A71,Beräkningar!$K$4:$K$51,0))</f>
        <v>0.83333333333333337</v>
      </c>
      <c r="F71" s="236">
        <f t="shared" si="4"/>
        <v>2</v>
      </c>
      <c r="G71" s="82">
        <v>0</v>
      </c>
      <c r="H71" s="82">
        <v>5</v>
      </c>
      <c r="I71" s="221"/>
      <c r="J71" s="79">
        <f>IF(MAX(Beräkningar!AL24:AL27)&gt;1,1,0)</f>
        <v>0</v>
      </c>
      <c r="K71" s="251" t="s">
        <v>220</v>
      </c>
      <c r="L71" s="205"/>
      <c r="M71" s="205"/>
      <c r="N71" s="205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</row>
    <row r="72" spans="1:25" ht="11.25" customHeight="1" x14ac:dyDescent="0.2">
      <c r="A72" s="150" t="s">
        <v>163</v>
      </c>
      <c r="C72" s="4" t="str">
        <f>INDEX(Beräkningar!$G$4:$G$51,MATCH(A72,Beräkningar!$K$4:$K$51,0))&amp;" - "&amp;INDEX(Beräkningar!$H$4:$H$51,MATCH(A72,Beräkningar!$K$4:$K$51,0))</f>
        <v>Japan - Spanien</v>
      </c>
      <c r="D72" s="252" t="str">
        <f>INDEX(Beräkningar!$B$4:$B$51,MATCH(A72,Beräkningar!$K$4:$K$51,0))</f>
        <v>Tor 1/12</v>
      </c>
      <c r="E72" s="253">
        <f>INDEX(Beräkningar!$C$4:$C$51,MATCH(A72,Beräkningar!$K$4:$K$51,0))</f>
        <v>0.83333333333333337</v>
      </c>
      <c r="F72" s="236" t="str">
        <f t="shared" si="4"/>
        <v>X</v>
      </c>
      <c r="G72" s="82">
        <v>1</v>
      </c>
      <c r="H72" s="82">
        <v>1</v>
      </c>
      <c r="I72" s="221"/>
      <c r="J72" s="205"/>
      <c r="K72" s="205"/>
      <c r="L72" s="205"/>
      <c r="M72" s="205"/>
      <c r="N72" s="205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</row>
    <row r="73" spans="1:25" ht="11.25" customHeight="1" x14ac:dyDescent="0.2">
      <c r="A73" s="150"/>
      <c r="C73" s="254" t="s">
        <v>7</v>
      </c>
      <c r="D73" s="205"/>
      <c r="E73" s="205"/>
      <c r="F73" s="205"/>
      <c r="G73" s="221"/>
      <c r="H73" s="221"/>
      <c r="I73" s="221"/>
      <c r="J73" s="205"/>
      <c r="K73" s="205"/>
      <c r="L73" s="205"/>
      <c r="M73" s="205"/>
      <c r="N73" s="205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</row>
    <row r="74" spans="1:25" ht="11.25" customHeight="1" x14ac:dyDescent="0.2">
      <c r="A74" s="150"/>
      <c r="C74" s="255" t="s">
        <v>16</v>
      </c>
      <c r="D74" s="205"/>
      <c r="E74" s="205"/>
      <c r="F74" s="205"/>
      <c r="G74" s="221"/>
      <c r="H74" s="221"/>
      <c r="I74" s="221"/>
      <c r="J74" s="205"/>
      <c r="K74" s="205"/>
      <c r="L74" s="205"/>
      <c r="M74" s="205"/>
      <c r="N74" s="205"/>
      <c r="O74" s="272"/>
      <c r="P74" s="274"/>
      <c r="Q74" s="274"/>
      <c r="R74" s="274"/>
      <c r="S74" s="274"/>
      <c r="T74" s="274"/>
      <c r="U74" s="274"/>
      <c r="V74" s="274"/>
      <c r="W74" s="274"/>
      <c r="X74" s="274"/>
      <c r="Y74" s="274"/>
    </row>
    <row r="75" spans="1:25" ht="11.25" customHeight="1" x14ac:dyDescent="0.2">
      <c r="A75" s="150"/>
      <c r="C75" s="256" t="s">
        <v>5</v>
      </c>
      <c r="D75" s="205"/>
      <c r="E75" s="205"/>
      <c r="F75" s="205"/>
      <c r="G75" s="221"/>
      <c r="H75" s="221"/>
      <c r="I75" s="221"/>
      <c r="J75" s="205"/>
      <c r="K75" s="205"/>
      <c r="L75" s="205"/>
      <c r="M75" s="205"/>
      <c r="N75" s="205"/>
      <c r="O75" s="272"/>
      <c r="P75" s="274"/>
      <c r="Q75" s="274"/>
      <c r="R75" s="274"/>
      <c r="S75" s="274"/>
      <c r="T75" s="274"/>
      <c r="U75" s="274"/>
      <c r="V75" s="274"/>
      <c r="W75" s="274"/>
      <c r="X75" s="274"/>
      <c r="Y75" s="274"/>
    </row>
    <row r="76" spans="1:25" ht="11.25" customHeight="1" x14ac:dyDescent="0.2">
      <c r="A76" s="150"/>
      <c r="C76" s="285"/>
      <c r="D76" s="284"/>
      <c r="E76" s="284"/>
      <c r="F76" s="205"/>
      <c r="G76" s="221"/>
      <c r="H76" s="221"/>
      <c r="I76" s="221"/>
      <c r="J76" s="205"/>
      <c r="K76" s="205"/>
      <c r="L76" s="205"/>
      <c r="M76" s="205"/>
      <c r="N76" s="205"/>
      <c r="O76" s="272"/>
      <c r="P76" s="274"/>
      <c r="Q76" s="274"/>
      <c r="R76" s="274"/>
      <c r="S76" s="274"/>
      <c r="T76" s="274"/>
      <c r="U76" s="274"/>
      <c r="V76" s="280"/>
      <c r="W76" s="274"/>
      <c r="X76" s="274"/>
      <c r="Y76" s="274"/>
    </row>
    <row r="77" spans="1:25" ht="11.25" customHeight="1" x14ac:dyDescent="0.2">
      <c r="A77" s="150"/>
      <c r="C77" s="1" t="s">
        <v>18</v>
      </c>
      <c r="D77" s="225" t="s">
        <v>177</v>
      </c>
      <c r="E77" s="225" t="s">
        <v>178</v>
      </c>
      <c r="F77" s="226" t="s">
        <v>1</v>
      </c>
      <c r="G77" s="227" t="s">
        <v>180</v>
      </c>
      <c r="H77" s="261"/>
      <c r="I77" s="221"/>
      <c r="J77" s="229" t="s">
        <v>219</v>
      </c>
      <c r="K77" s="230" t="s">
        <v>18</v>
      </c>
      <c r="L77" s="231" t="s">
        <v>197</v>
      </c>
      <c r="M77" s="232" t="s">
        <v>246</v>
      </c>
      <c r="N77" s="205"/>
      <c r="O77" s="272"/>
      <c r="P77" s="274"/>
      <c r="Q77" s="274"/>
      <c r="R77" s="274"/>
      <c r="S77" s="274"/>
      <c r="T77" s="274"/>
      <c r="U77" s="274"/>
      <c r="V77" s="280"/>
      <c r="W77" s="274"/>
      <c r="X77" s="274"/>
      <c r="Y77" s="274"/>
    </row>
    <row r="78" spans="1:25" ht="11.25" customHeight="1" x14ac:dyDescent="0.2">
      <c r="A78" s="150" t="s">
        <v>126</v>
      </c>
      <c r="C78" s="2" t="str">
        <f>INDEX(Beräkningar!$G$4:$G$51,MATCH(A78,Beräkningar!$K$4:$K$51,0))&amp;" - "&amp;INDEX(Beräkningar!$H$4:$H$51,MATCH(A78,Beräkningar!$K$4:$K$51,0))</f>
        <v>Belgien - Kanada</v>
      </c>
      <c r="D78" s="234" t="str">
        <f>INDEX(Beräkningar!$B$4:$B$51,MATCH(A78,Beräkningar!$K$4:$K$51,0))</f>
        <v>Ons 23/11</v>
      </c>
      <c r="E78" s="235">
        <f>INDEX(Beräkningar!$C$4:$C$51,MATCH(A78,Beräkningar!$K$4:$K$51,0))</f>
        <v>0.83333333333333337</v>
      </c>
      <c r="F78" s="236">
        <f t="shared" ref="F78:F83" si="5">IF(OR(G78="-",H78="-"),"-",IF(G78&gt;H78,1,IF(G78=H78,"X",2)))</f>
        <v>1</v>
      </c>
      <c r="G78" s="82">
        <v>3</v>
      </c>
      <c r="H78" s="82">
        <v>0</v>
      </c>
      <c r="I78" s="221"/>
      <c r="J78" s="237">
        <f>IF(M78="-",1,IF(M78=0,1,M78))</f>
        <v>1</v>
      </c>
      <c r="K78" s="238" t="str">
        <f>Beräkningar!AG29</f>
        <v>Belgien</v>
      </c>
      <c r="L78" s="239">
        <f>Beräkningar!AH29</f>
        <v>9</v>
      </c>
      <c r="M78" s="83" t="s">
        <v>13</v>
      </c>
      <c r="N78" s="205"/>
      <c r="O78" s="272"/>
      <c r="P78" s="274"/>
      <c r="Q78" s="274"/>
      <c r="R78" s="274"/>
      <c r="S78" s="274"/>
      <c r="T78" s="274"/>
      <c r="U78" s="274"/>
      <c r="V78" s="280"/>
      <c r="W78" s="274"/>
      <c r="X78" s="274"/>
      <c r="Y78" s="274"/>
    </row>
    <row r="79" spans="1:25" ht="11.25" customHeight="1" x14ac:dyDescent="0.2">
      <c r="A79" s="150" t="s">
        <v>127</v>
      </c>
      <c r="C79" s="3" t="str">
        <f>INDEX(Beräkningar!$G$4:$G$51,MATCH(A79,Beräkningar!$K$4:$K$51,0))&amp;" - "&amp;INDEX(Beräkningar!$H$4:$H$51,MATCH(A79,Beräkningar!$K$4:$K$51,0))</f>
        <v>Marocko - Kroatien</v>
      </c>
      <c r="D79" s="242" t="str">
        <f>INDEX(Beräkningar!$B$4:$B$51,MATCH(A79,Beräkningar!$K$4:$K$51,0))</f>
        <v>Ons 23/11</v>
      </c>
      <c r="E79" s="243">
        <f>INDEX(Beräkningar!$C$4:$C$51,MATCH(A79,Beräkningar!$K$4:$K$51,0))</f>
        <v>0.45833333333333331</v>
      </c>
      <c r="F79" s="236">
        <f t="shared" si="5"/>
        <v>2</v>
      </c>
      <c r="G79" s="82">
        <v>0</v>
      </c>
      <c r="H79" s="82">
        <v>2</v>
      </c>
      <c r="I79" s="221"/>
      <c r="J79" s="244">
        <f>IF(M79="-",2,IF(M79=0,2,M79))</f>
        <v>2</v>
      </c>
      <c r="K79" s="245" t="str">
        <f>Beräkningar!AG30</f>
        <v>Kroatien</v>
      </c>
      <c r="L79" s="246">
        <f>Beräkningar!AH30</f>
        <v>6</v>
      </c>
      <c r="M79" s="83" t="s">
        <v>13</v>
      </c>
      <c r="N79" s="205"/>
      <c r="O79" s="272"/>
      <c r="P79" s="274"/>
      <c r="Q79" s="274"/>
      <c r="R79" s="274"/>
      <c r="S79" s="274"/>
      <c r="T79" s="274"/>
      <c r="U79" s="274"/>
      <c r="V79" s="280"/>
      <c r="W79" s="274"/>
      <c r="X79" s="274"/>
      <c r="Y79" s="274"/>
    </row>
    <row r="80" spans="1:25" ht="11.25" customHeight="1" x14ac:dyDescent="0.2">
      <c r="A80" s="150" t="s">
        <v>128</v>
      </c>
      <c r="C80" s="3" t="str">
        <f>INDEX(Beräkningar!$G$4:$G$51,MATCH(A80,Beräkningar!$K$4:$K$51,0))&amp;" - "&amp;INDEX(Beräkningar!$H$4:$H$51,MATCH(A80,Beräkningar!$K$4:$K$51,0))</f>
        <v>Belgien - Marocko</v>
      </c>
      <c r="D80" s="242" t="str">
        <f>INDEX(Beräkningar!$B$4:$B$51,MATCH(A80,Beräkningar!$K$4:$K$51,0))</f>
        <v>Sön 27/11</v>
      </c>
      <c r="E80" s="243">
        <f>INDEX(Beräkningar!$C$4:$C$51,MATCH(A80,Beräkningar!$K$4:$K$51,0))</f>
        <v>0.58333333333333337</v>
      </c>
      <c r="F80" s="236">
        <f t="shared" si="5"/>
        <v>1</v>
      </c>
      <c r="G80" s="82">
        <v>2</v>
      </c>
      <c r="H80" s="82">
        <v>0</v>
      </c>
      <c r="I80" s="221"/>
      <c r="J80" s="244">
        <f>IF(M80="-",3,IF(M80=0,3,M80))</f>
        <v>3</v>
      </c>
      <c r="K80" s="245" t="str">
        <f>Beräkningar!AG31</f>
        <v>Marocko</v>
      </c>
      <c r="L80" s="246">
        <f>Beräkningar!AH31</f>
        <v>3</v>
      </c>
      <c r="M80" s="83" t="s">
        <v>13</v>
      </c>
      <c r="N80" s="205"/>
      <c r="O80" s="272"/>
      <c r="P80" s="274"/>
      <c r="Q80" s="274"/>
      <c r="R80" s="274"/>
      <c r="S80" s="274"/>
      <c r="T80" s="274"/>
      <c r="U80" s="274"/>
      <c r="V80" s="280"/>
      <c r="W80" s="274"/>
      <c r="X80" s="274"/>
      <c r="Y80" s="274"/>
    </row>
    <row r="81" spans="1:25" ht="11.25" customHeight="1" x14ac:dyDescent="0.2">
      <c r="A81" s="150" t="s">
        <v>129</v>
      </c>
      <c r="C81" s="3" t="str">
        <f>INDEX(Beräkningar!$G$4:$G$51,MATCH(A81,Beräkningar!$K$4:$K$51,0))&amp;" - "&amp;INDEX(Beräkningar!$H$4:$H$51,MATCH(A81,Beräkningar!$K$4:$K$51,0))</f>
        <v>Kroatien - Kanada</v>
      </c>
      <c r="D81" s="242" t="str">
        <f>INDEX(Beräkningar!$B$4:$B$51,MATCH(A81,Beräkningar!$K$4:$K$51,0))</f>
        <v>Sön 27/11</v>
      </c>
      <c r="E81" s="243">
        <f>INDEX(Beräkningar!$C$4:$C$51,MATCH(A81,Beräkningar!$K$4:$K$51,0))</f>
        <v>0.70833333333333337</v>
      </c>
      <c r="F81" s="236">
        <f t="shared" si="5"/>
        <v>1</v>
      </c>
      <c r="G81" s="82">
        <v>3</v>
      </c>
      <c r="H81" s="82">
        <v>0</v>
      </c>
      <c r="I81" s="221"/>
      <c r="J81" s="248">
        <f>IF(M81="-",4,IF(M81=0,4,M81))</f>
        <v>4</v>
      </c>
      <c r="K81" s="249" t="str">
        <f>Beräkningar!AG32</f>
        <v>Kanada</v>
      </c>
      <c r="L81" s="250">
        <f>Beräkningar!AH32</f>
        <v>0</v>
      </c>
      <c r="M81" s="83" t="s">
        <v>13</v>
      </c>
      <c r="N81" s="205"/>
      <c r="O81" s="272"/>
      <c r="P81" s="274"/>
      <c r="Q81" s="274"/>
      <c r="R81" s="274"/>
      <c r="S81" s="274"/>
      <c r="T81" s="274"/>
      <c r="U81" s="274"/>
      <c r="V81" s="280"/>
      <c r="W81" s="274"/>
      <c r="X81" s="274"/>
      <c r="Y81" s="274"/>
    </row>
    <row r="82" spans="1:25" ht="11.25" customHeight="1" x14ac:dyDescent="0.2">
      <c r="A82" s="150" t="s">
        <v>166</v>
      </c>
      <c r="C82" s="3" t="str">
        <f>INDEX(Beräkningar!$G$4:$G$51,MATCH(A82,Beräkningar!$K$4:$K$51,0))&amp;" - "&amp;INDEX(Beräkningar!$H$4:$H$51,MATCH(A82,Beräkningar!$K$4:$K$51,0))</f>
        <v>Kanada - Marocko</v>
      </c>
      <c r="D82" s="242" t="str">
        <f>INDEX(Beräkningar!$B$4:$B$51,MATCH(A82,Beräkningar!$K$4:$K$51,0))</f>
        <v>Tor 1/12</v>
      </c>
      <c r="E82" s="243">
        <f>INDEX(Beräkningar!$C$4:$C$51,MATCH(A82,Beräkningar!$K$4:$K$51,0))</f>
        <v>0.66666666666666663</v>
      </c>
      <c r="F82" s="236">
        <f t="shared" si="5"/>
        <v>2</v>
      </c>
      <c r="G82" s="82">
        <v>0</v>
      </c>
      <c r="H82" s="82">
        <v>1</v>
      </c>
      <c r="I82" s="221"/>
      <c r="J82" s="79">
        <f>IF(MAX(Beräkningar!AL29:AL32)&gt;1,1,0)</f>
        <v>0</v>
      </c>
      <c r="K82" s="251" t="s">
        <v>220</v>
      </c>
      <c r="L82" s="205"/>
      <c r="M82" s="205"/>
      <c r="N82" s="205"/>
      <c r="O82" s="272"/>
      <c r="P82" s="274"/>
      <c r="Q82" s="274"/>
      <c r="R82" s="274"/>
      <c r="S82" s="274"/>
      <c r="T82" s="274"/>
      <c r="U82" s="274"/>
      <c r="V82" s="280"/>
      <c r="W82" s="274"/>
      <c r="X82" s="274"/>
      <c r="Y82" s="274"/>
    </row>
    <row r="83" spans="1:25" ht="11.25" customHeight="1" x14ac:dyDescent="0.2">
      <c r="A83" s="150" t="s">
        <v>167</v>
      </c>
      <c r="C83" s="4" t="str">
        <f>INDEX(Beräkningar!$G$4:$G$51,MATCH(A83,Beräkningar!$K$4:$K$51,0))&amp;" - "&amp;INDEX(Beräkningar!$H$4:$H$51,MATCH(A83,Beräkningar!$K$4:$K$51,0))</f>
        <v>Kroatien - Belgien</v>
      </c>
      <c r="D83" s="252" t="str">
        <f>INDEX(Beräkningar!$B$4:$B$51,MATCH(A83,Beräkningar!$K$4:$K$51,0))</f>
        <v>Tor 1/12</v>
      </c>
      <c r="E83" s="253">
        <f>INDEX(Beräkningar!$C$4:$C$51,MATCH(A83,Beräkningar!$K$4:$K$51,0))</f>
        <v>0.66666666666666663</v>
      </c>
      <c r="F83" s="236">
        <f t="shared" si="5"/>
        <v>2</v>
      </c>
      <c r="G83" s="82">
        <v>1</v>
      </c>
      <c r="H83" s="82">
        <v>2</v>
      </c>
      <c r="I83" s="221"/>
      <c r="J83" s="205"/>
      <c r="K83" s="205"/>
      <c r="L83" s="205"/>
      <c r="M83" s="205"/>
      <c r="N83" s="205"/>
      <c r="O83" s="272"/>
      <c r="P83" s="274"/>
      <c r="Q83" s="274"/>
      <c r="R83" s="274"/>
      <c r="S83" s="274"/>
      <c r="T83" s="274"/>
      <c r="U83" s="274"/>
      <c r="V83" s="280"/>
      <c r="W83" s="274"/>
      <c r="X83" s="274"/>
      <c r="Y83" s="274"/>
    </row>
    <row r="84" spans="1:25" ht="11.25" customHeight="1" x14ac:dyDescent="0.2">
      <c r="A84" s="150"/>
      <c r="C84" s="254" t="s">
        <v>7</v>
      </c>
      <c r="D84" s="205"/>
      <c r="E84" s="205"/>
      <c r="F84" s="205"/>
      <c r="G84" s="221"/>
      <c r="H84" s="221"/>
      <c r="I84" s="221"/>
      <c r="J84" s="205"/>
      <c r="K84" s="205"/>
      <c r="L84" s="205"/>
      <c r="M84" s="205"/>
      <c r="N84" s="205"/>
      <c r="O84" s="272"/>
      <c r="P84" s="274"/>
      <c r="Q84" s="274"/>
      <c r="R84" s="274"/>
      <c r="S84" s="274"/>
      <c r="T84" s="274"/>
      <c r="U84" s="274"/>
      <c r="V84" s="280"/>
      <c r="W84" s="274"/>
      <c r="X84" s="274"/>
      <c r="Y84" s="274"/>
    </row>
    <row r="85" spans="1:25" ht="11.25" customHeight="1" x14ac:dyDescent="0.2">
      <c r="A85" s="150"/>
      <c r="C85" s="255" t="s">
        <v>16</v>
      </c>
      <c r="D85" s="205"/>
      <c r="E85" s="205"/>
      <c r="F85" s="205"/>
      <c r="G85" s="221"/>
      <c r="H85" s="221"/>
      <c r="I85" s="221"/>
      <c r="J85" s="205"/>
      <c r="K85" s="205"/>
      <c r="L85" s="205"/>
      <c r="M85" s="205"/>
      <c r="N85" s="205"/>
      <c r="O85" s="272"/>
      <c r="P85" s="274"/>
      <c r="Q85" s="274"/>
      <c r="R85" s="274"/>
      <c r="S85" s="274"/>
      <c r="T85" s="274"/>
      <c r="U85" s="274"/>
      <c r="V85" s="280"/>
      <c r="W85" s="274"/>
      <c r="X85" s="274"/>
      <c r="Y85" s="274"/>
    </row>
    <row r="86" spans="1:25" ht="11.25" customHeight="1" x14ac:dyDescent="0.2">
      <c r="A86" s="150"/>
      <c r="C86" s="256" t="s">
        <v>5</v>
      </c>
      <c r="D86" s="205"/>
      <c r="E86" s="205"/>
      <c r="F86" s="205"/>
      <c r="G86" s="221"/>
      <c r="H86" s="221"/>
      <c r="I86" s="221"/>
      <c r="J86" s="205"/>
      <c r="K86" s="205"/>
      <c r="L86" s="205"/>
      <c r="M86" s="205"/>
      <c r="N86" s="205"/>
      <c r="O86" s="272"/>
      <c r="P86" s="274"/>
      <c r="Q86" s="274"/>
      <c r="R86" s="274"/>
      <c r="S86" s="274"/>
      <c r="T86" s="274"/>
      <c r="U86" s="274"/>
      <c r="V86" s="280"/>
      <c r="W86" s="274"/>
      <c r="X86" s="274"/>
      <c r="Y86" s="274"/>
    </row>
    <row r="87" spans="1:25" ht="11.25" customHeight="1" x14ac:dyDescent="0.2">
      <c r="A87" s="150"/>
      <c r="C87" s="285"/>
      <c r="D87" s="284"/>
      <c r="E87" s="284"/>
      <c r="F87" s="205"/>
      <c r="G87" s="221"/>
      <c r="H87" s="221"/>
      <c r="I87" s="221"/>
      <c r="J87" s="205"/>
      <c r="K87" s="205"/>
      <c r="L87" s="205"/>
      <c r="M87" s="205"/>
      <c r="N87" s="205"/>
      <c r="O87" s="272"/>
      <c r="P87" s="274"/>
      <c r="Q87" s="274"/>
      <c r="R87" s="274"/>
      <c r="S87" s="274"/>
      <c r="T87" s="274"/>
      <c r="U87" s="274"/>
      <c r="V87" s="280"/>
      <c r="W87" s="274"/>
      <c r="X87" s="274"/>
      <c r="Y87" s="274"/>
    </row>
    <row r="88" spans="1:25" ht="11.25" customHeight="1" x14ac:dyDescent="0.2">
      <c r="A88" s="150"/>
      <c r="C88" s="1" t="s">
        <v>156</v>
      </c>
      <c r="D88" s="225" t="s">
        <v>177</v>
      </c>
      <c r="E88" s="225" t="s">
        <v>178</v>
      </c>
      <c r="F88" s="226" t="s">
        <v>1</v>
      </c>
      <c r="G88" s="227" t="s">
        <v>180</v>
      </c>
      <c r="H88" s="261"/>
      <c r="I88" s="221"/>
      <c r="J88" s="229" t="s">
        <v>219</v>
      </c>
      <c r="K88" s="230" t="s">
        <v>213</v>
      </c>
      <c r="L88" s="231" t="s">
        <v>197</v>
      </c>
      <c r="M88" s="232" t="s">
        <v>246</v>
      </c>
      <c r="N88" s="205"/>
      <c r="O88" s="272"/>
      <c r="P88" s="274"/>
      <c r="Q88" s="274"/>
      <c r="R88" s="274"/>
      <c r="S88" s="274"/>
      <c r="T88" s="274"/>
      <c r="U88" s="274"/>
      <c r="V88" s="280"/>
      <c r="W88" s="274"/>
      <c r="X88" s="274"/>
      <c r="Y88" s="274"/>
    </row>
    <row r="89" spans="1:25" ht="11.25" customHeight="1" x14ac:dyDescent="0.2">
      <c r="A89" s="150" t="s">
        <v>130</v>
      </c>
      <c r="C89" s="2" t="str">
        <f>INDEX(Beräkningar!$G$4:$G$51,MATCH(A89,Beräkningar!$K$4:$K$51,0))&amp;" - "&amp;INDEX(Beräkningar!$H$4:$H$51,MATCH(A89,Beräkningar!$K$4:$K$51,0))</f>
        <v>Brasilien - Serbien</v>
      </c>
      <c r="D89" s="234" t="str">
        <f>INDEX(Beräkningar!$B$4:$B$51,MATCH(A89,Beräkningar!$K$4:$K$51,0))</f>
        <v>Tor 24/11</v>
      </c>
      <c r="E89" s="235">
        <f>INDEX(Beräkningar!$C$4:$C$51,MATCH(A89,Beräkningar!$K$4:$K$51,0))</f>
        <v>0.83333333333333337</v>
      </c>
      <c r="F89" s="236">
        <f t="shared" ref="F89:F94" si="6">IF(OR(G89="-",H89="-"),"-",IF(G89&gt;H89,1,IF(G89=H89,"X",2)))</f>
        <v>1</v>
      </c>
      <c r="G89" s="82">
        <v>2</v>
      </c>
      <c r="H89" s="82">
        <v>1</v>
      </c>
      <c r="I89" s="221"/>
      <c r="J89" s="237">
        <f>IF(M89="-",1,IF(M89=0,1,M89))</f>
        <v>1</v>
      </c>
      <c r="K89" s="238" t="str">
        <f>Beräkningar!AG34</f>
        <v>Brasilien</v>
      </c>
      <c r="L89" s="239">
        <f>Beräkningar!AH34</f>
        <v>9</v>
      </c>
      <c r="M89" s="83"/>
      <c r="N89" s="205"/>
      <c r="O89" s="272"/>
      <c r="P89" s="274"/>
      <c r="Q89" s="274"/>
      <c r="R89" s="274"/>
      <c r="S89" s="274"/>
      <c r="T89" s="274"/>
      <c r="U89" s="274"/>
      <c r="V89" s="280"/>
      <c r="W89" s="274"/>
      <c r="X89" s="274"/>
      <c r="Y89" s="274"/>
    </row>
    <row r="90" spans="1:25" ht="11.25" customHeight="1" x14ac:dyDescent="0.2">
      <c r="A90" s="150" t="s">
        <v>131</v>
      </c>
      <c r="C90" s="3" t="str">
        <f>INDEX(Beräkningar!$G$4:$G$51,MATCH(A90,Beräkningar!$K$4:$K$51,0))&amp;" - "&amp;INDEX(Beräkningar!$H$4:$H$51,MATCH(A90,Beräkningar!$K$4:$K$51,0))</f>
        <v>Schweiz - Kamerun</v>
      </c>
      <c r="D90" s="242" t="str">
        <f>INDEX(Beräkningar!$B$4:$B$51,MATCH(A90,Beräkningar!$K$4:$K$51,0))</f>
        <v>Tor 24/11</v>
      </c>
      <c r="E90" s="243">
        <f>INDEX(Beräkningar!$C$4:$C$51,MATCH(A90,Beräkningar!$K$4:$K$51,0))</f>
        <v>0.45833333333333331</v>
      </c>
      <c r="F90" s="236" t="str">
        <f t="shared" si="6"/>
        <v>X</v>
      </c>
      <c r="G90" s="82">
        <v>1</v>
      </c>
      <c r="H90" s="82">
        <v>1</v>
      </c>
      <c r="I90" s="221"/>
      <c r="J90" s="244">
        <f>IF(M90="-",2,IF(M90=0,2,M90))</f>
        <v>2</v>
      </c>
      <c r="K90" s="245" t="str">
        <f>Beräkningar!AG35</f>
        <v>Kamerun</v>
      </c>
      <c r="L90" s="246">
        <f>Beräkningar!AH35</f>
        <v>4</v>
      </c>
      <c r="M90" s="83"/>
      <c r="N90" s="205"/>
      <c r="O90" s="272"/>
      <c r="P90" s="274"/>
      <c r="Q90" s="274"/>
      <c r="R90" s="274"/>
      <c r="S90" s="274"/>
      <c r="T90" s="274"/>
      <c r="U90" s="274"/>
      <c r="V90" s="280"/>
      <c r="W90" s="274"/>
      <c r="X90" s="274"/>
      <c r="Y90" s="274"/>
    </row>
    <row r="91" spans="1:25" ht="11.25" customHeight="1" x14ac:dyDescent="0.2">
      <c r="A91" s="150" t="s">
        <v>132</v>
      </c>
      <c r="C91" s="3" t="str">
        <f>INDEX(Beräkningar!$G$4:$G$51,MATCH(A91,Beräkningar!$K$4:$K$51,0))&amp;" - "&amp;INDEX(Beräkningar!$H$4:$H$51,MATCH(A91,Beräkningar!$K$4:$K$51,0))</f>
        <v>Kamerun - Serbien</v>
      </c>
      <c r="D91" s="242" t="str">
        <f>INDEX(Beräkningar!$B$4:$B$51,MATCH(A91,Beräkningar!$K$4:$K$51,0))</f>
        <v>Mån 28/11</v>
      </c>
      <c r="E91" s="243">
        <f>INDEX(Beräkningar!$C$4:$C$51,MATCH(A91,Beräkningar!$K$4:$K$51,0))</f>
        <v>0.45833333333333331</v>
      </c>
      <c r="F91" s="236">
        <f t="shared" si="6"/>
        <v>1</v>
      </c>
      <c r="G91" s="82">
        <v>1</v>
      </c>
      <c r="H91" s="82">
        <v>0</v>
      </c>
      <c r="I91" s="221"/>
      <c r="J91" s="244">
        <f>IF(M91="-",3,IF(M91=0,3,M91))</f>
        <v>3</v>
      </c>
      <c r="K91" s="245" t="str">
        <f>Beräkningar!AG36</f>
        <v>Schweiz</v>
      </c>
      <c r="L91" s="246">
        <f>Beräkningar!AH36</f>
        <v>2</v>
      </c>
      <c r="M91" s="83"/>
      <c r="N91" s="205"/>
      <c r="O91" s="272"/>
      <c r="P91" s="274"/>
      <c r="Q91" s="274"/>
      <c r="R91" s="274"/>
      <c r="S91" s="274"/>
      <c r="T91" s="274"/>
      <c r="U91" s="274"/>
      <c r="V91" s="280"/>
      <c r="W91" s="274"/>
      <c r="X91" s="274"/>
      <c r="Y91" s="274"/>
    </row>
    <row r="92" spans="1:25" ht="11.25" customHeight="1" x14ac:dyDescent="0.2">
      <c r="A92" s="150" t="s">
        <v>133</v>
      </c>
      <c r="C92" s="3" t="str">
        <f>INDEX(Beräkningar!$G$4:$G$51,MATCH(A92,Beräkningar!$K$4:$K$51,0))&amp;" - "&amp;INDEX(Beräkningar!$H$4:$H$51,MATCH(A92,Beräkningar!$K$4:$K$51,0))</f>
        <v>Brasilien - Schweiz</v>
      </c>
      <c r="D92" s="242" t="str">
        <f>INDEX(Beräkningar!$B$4:$B$51,MATCH(A92,Beräkningar!$K$4:$K$51,0))</f>
        <v>Mån 28/11</v>
      </c>
      <c r="E92" s="243">
        <f>INDEX(Beräkningar!$C$4:$C$51,MATCH(A92,Beräkningar!$K$4:$K$51,0))</f>
        <v>0.70833333333333337</v>
      </c>
      <c r="F92" s="236">
        <f t="shared" si="6"/>
        <v>1</v>
      </c>
      <c r="G92" s="82">
        <v>4</v>
      </c>
      <c r="H92" s="82">
        <v>0</v>
      </c>
      <c r="I92" s="221"/>
      <c r="J92" s="248">
        <f>IF(M92="-",4,IF(M92=0,4,M92))</f>
        <v>4</v>
      </c>
      <c r="K92" s="249" t="str">
        <f>Beräkningar!AG37</f>
        <v>Serbien</v>
      </c>
      <c r="L92" s="250">
        <f>Beräkningar!AH37</f>
        <v>1</v>
      </c>
      <c r="M92" s="83"/>
      <c r="N92" s="205"/>
      <c r="O92" s="272"/>
      <c r="P92" s="274"/>
      <c r="Q92" s="274"/>
      <c r="R92" s="274"/>
      <c r="S92" s="274"/>
      <c r="T92" s="274"/>
      <c r="U92" s="274"/>
      <c r="V92" s="280"/>
      <c r="W92" s="274"/>
      <c r="X92" s="274"/>
      <c r="Y92" s="274"/>
    </row>
    <row r="93" spans="1:25" ht="11.25" customHeight="1" x14ac:dyDescent="0.2">
      <c r="A93" s="150" t="s">
        <v>168</v>
      </c>
      <c r="C93" s="3" t="str">
        <f>INDEX(Beräkningar!$G$4:$G$51,MATCH(A93,Beräkningar!$K$4:$K$51,0))&amp;" - "&amp;INDEX(Beräkningar!$H$4:$H$51,MATCH(A93,Beräkningar!$K$4:$K$51,0))</f>
        <v>Serbien - Schweiz</v>
      </c>
      <c r="D93" s="242" t="str">
        <f>INDEX(Beräkningar!$B$4:$B$51,MATCH(A93,Beräkningar!$K$4:$K$51,0))</f>
        <v>Fre 2/12</v>
      </c>
      <c r="E93" s="243">
        <f>INDEX(Beräkningar!$C$4:$C$51,MATCH(A93,Beräkningar!$K$4:$K$51,0))</f>
        <v>0.83333333333333337</v>
      </c>
      <c r="F93" s="236" t="str">
        <f t="shared" si="6"/>
        <v>X</v>
      </c>
      <c r="G93" s="82">
        <v>1</v>
      </c>
      <c r="H93" s="82">
        <v>1</v>
      </c>
      <c r="I93" s="221"/>
      <c r="J93" s="79">
        <f>IF(MAX(Beräkningar!AL34:AL37)&gt;1,1,0)</f>
        <v>0</v>
      </c>
      <c r="K93" s="251" t="s">
        <v>220</v>
      </c>
      <c r="L93" s="205"/>
      <c r="M93" s="205"/>
      <c r="N93" s="205"/>
      <c r="O93" s="272"/>
      <c r="P93" s="274"/>
      <c r="Q93" s="274"/>
      <c r="R93" s="274"/>
      <c r="S93" s="274"/>
      <c r="T93" s="274"/>
      <c r="U93" s="274"/>
      <c r="V93" s="280"/>
      <c r="W93" s="274"/>
      <c r="X93" s="274"/>
      <c r="Y93" s="274"/>
    </row>
    <row r="94" spans="1:25" ht="11.25" customHeight="1" x14ac:dyDescent="0.2">
      <c r="A94" s="150" t="s">
        <v>169</v>
      </c>
      <c r="C94" s="4" t="str">
        <f>INDEX(Beräkningar!$G$4:$G$51,MATCH(A94,Beräkningar!$K$4:$K$51,0))&amp;" - "&amp;INDEX(Beräkningar!$H$4:$H$51,MATCH(A94,Beräkningar!$K$4:$K$51,0))</f>
        <v>Kamerun - Brasilien</v>
      </c>
      <c r="D94" s="252" t="str">
        <f>INDEX(Beräkningar!$B$4:$B$51,MATCH(A94,Beräkningar!$K$4:$K$51,0))</f>
        <v>Fre 2/12</v>
      </c>
      <c r="E94" s="253">
        <f>INDEX(Beräkningar!$C$4:$C$51,MATCH(A94,Beräkningar!$K$4:$K$51,0))</f>
        <v>0.83333333333333337</v>
      </c>
      <c r="F94" s="236">
        <f t="shared" si="6"/>
        <v>2</v>
      </c>
      <c r="G94" s="82">
        <v>1</v>
      </c>
      <c r="H94" s="82">
        <v>2</v>
      </c>
      <c r="I94" s="221"/>
      <c r="J94" s="286"/>
      <c r="K94" s="205"/>
      <c r="L94" s="205"/>
      <c r="M94" s="286"/>
      <c r="N94" s="205"/>
      <c r="O94" s="272"/>
      <c r="P94" s="274"/>
      <c r="Q94" s="274"/>
      <c r="R94" s="274"/>
      <c r="S94" s="274"/>
      <c r="T94" s="274"/>
      <c r="U94" s="274"/>
      <c r="V94" s="280"/>
      <c r="W94" s="274"/>
      <c r="X94" s="274"/>
      <c r="Y94" s="274"/>
    </row>
    <row r="95" spans="1:25" ht="11.25" customHeight="1" x14ac:dyDescent="0.2">
      <c r="A95" s="150"/>
      <c r="C95" s="254" t="s">
        <v>7</v>
      </c>
      <c r="D95" s="205"/>
      <c r="E95" s="205"/>
      <c r="F95" s="205"/>
      <c r="G95" s="221"/>
      <c r="H95" s="221"/>
      <c r="I95" s="221"/>
      <c r="J95" s="286"/>
      <c r="K95" s="205"/>
      <c r="L95" s="205"/>
      <c r="M95" s="286"/>
      <c r="N95" s="205"/>
      <c r="O95" s="272"/>
      <c r="P95" s="274"/>
      <c r="Q95" s="274"/>
      <c r="R95" s="274"/>
      <c r="S95" s="274"/>
      <c r="T95" s="274"/>
      <c r="U95" s="274"/>
      <c r="V95" s="280"/>
      <c r="W95" s="274"/>
      <c r="X95" s="274"/>
      <c r="Y95" s="274"/>
    </row>
    <row r="96" spans="1:25" ht="11.25" customHeight="1" x14ac:dyDescent="0.2">
      <c r="A96" s="150"/>
      <c r="C96" s="255" t="s">
        <v>16</v>
      </c>
      <c r="D96" s="205"/>
      <c r="E96" s="205"/>
      <c r="F96" s="205"/>
      <c r="G96" s="221"/>
      <c r="H96" s="221"/>
      <c r="I96" s="221"/>
      <c r="J96" s="286"/>
      <c r="K96" s="205"/>
      <c r="L96" s="205"/>
      <c r="M96" s="286"/>
      <c r="N96" s="205"/>
      <c r="O96" s="272"/>
      <c r="P96" s="274"/>
      <c r="Q96" s="274"/>
      <c r="R96" s="274"/>
      <c r="S96" s="274"/>
      <c r="T96" s="274"/>
      <c r="U96" s="274"/>
      <c r="V96" s="280"/>
      <c r="W96" s="274"/>
      <c r="X96" s="274"/>
      <c r="Y96" s="274"/>
    </row>
    <row r="97" spans="1:25" ht="11.25" customHeight="1" x14ac:dyDescent="0.2">
      <c r="A97" s="150"/>
      <c r="C97" s="256" t="s">
        <v>5</v>
      </c>
      <c r="D97" s="205"/>
      <c r="E97" s="205"/>
      <c r="F97" s="205"/>
      <c r="G97" s="221"/>
      <c r="H97" s="221"/>
      <c r="I97" s="221"/>
      <c r="J97" s="286"/>
      <c r="K97" s="205"/>
      <c r="L97" s="205"/>
      <c r="M97" s="286"/>
      <c r="N97" s="205"/>
      <c r="O97" s="272"/>
      <c r="P97" s="274"/>
      <c r="Q97" s="274"/>
      <c r="R97" s="274"/>
      <c r="S97" s="274"/>
      <c r="T97" s="274"/>
      <c r="U97" s="274"/>
      <c r="V97" s="280"/>
      <c r="W97" s="274"/>
      <c r="X97" s="274"/>
      <c r="Y97" s="274"/>
    </row>
    <row r="98" spans="1:25" ht="11.25" customHeight="1" x14ac:dyDescent="0.2">
      <c r="A98" s="150"/>
      <c r="C98" s="285"/>
      <c r="D98" s="284"/>
      <c r="E98" s="284"/>
      <c r="F98" s="205"/>
      <c r="G98" s="221"/>
      <c r="H98" s="221"/>
      <c r="I98" s="221"/>
      <c r="J98" s="286"/>
      <c r="K98" s="205"/>
      <c r="L98" s="205"/>
      <c r="M98" s="286"/>
      <c r="N98" s="205"/>
      <c r="O98" s="272"/>
      <c r="P98" s="274"/>
      <c r="Q98" s="274"/>
      <c r="R98" s="274"/>
      <c r="S98" s="274"/>
      <c r="T98" s="274"/>
      <c r="U98" s="274"/>
      <c r="V98" s="280"/>
      <c r="W98" s="274"/>
      <c r="X98" s="274"/>
      <c r="Y98" s="274"/>
    </row>
    <row r="99" spans="1:25" ht="11.25" customHeight="1" x14ac:dyDescent="0.2">
      <c r="A99" s="150"/>
      <c r="C99" s="1" t="s">
        <v>157</v>
      </c>
      <c r="D99" s="225" t="s">
        <v>177</v>
      </c>
      <c r="E99" s="225" t="s">
        <v>178</v>
      </c>
      <c r="F99" s="226" t="s">
        <v>1</v>
      </c>
      <c r="G99" s="227" t="s">
        <v>180</v>
      </c>
      <c r="H99" s="261"/>
      <c r="I99" s="221"/>
      <c r="J99" s="229" t="s">
        <v>219</v>
      </c>
      <c r="K99" s="230" t="s">
        <v>157</v>
      </c>
      <c r="L99" s="231" t="s">
        <v>197</v>
      </c>
      <c r="M99" s="232" t="s">
        <v>246</v>
      </c>
      <c r="N99" s="205"/>
      <c r="O99" s="272"/>
      <c r="P99" s="274"/>
      <c r="Q99" s="274"/>
      <c r="R99" s="274"/>
      <c r="S99" s="274"/>
      <c r="T99" s="274"/>
      <c r="U99" s="274"/>
      <c r="V99" s="280"/>
      <c r="W99" s="274"/>
      <c r="X99" s="274"/>
      <c r="Y99" s="274"/>
    </row>
    <row r="100" spans="1:25" ht="11.25" customHeight="1" x14ac:dyDescent="0.2">
      <c r="A100" s="150" t="s">
        <v>134</v>
      </c>
      <c r="C100" s="2" t="str">
        <f>INDEX(Beräkningar!$G$4:$G$51,MATCH(A100,Beräkningar!$K$4:$K$51,0))&amp;" - "&amp;INDEX(Beräkningar!$H$4:$H$51,MATCH(A100,Beräkningar!$K$4:$K$51,0))</f>
        <v>Portugal - Ghana</v>
      </c>
      <c r="D100" s="234" t="str">
        <f>INDEX(Beräkningar!$B$4:$B$51,MATCH(A100,Beräkningar!$K$4:$K$51,0))</f>
        <v>Tor 24/11</v>
      </c>
      <c r="E100" s="235">
        <f>INDEX(Beräkningar!$C$4:$C$51,MATCH(A100,Beräkningar!$K$4:$K$51,0))</f>
        <v>0.70833333333333337</v>
      </c>
      <c r="F100" s="236">
        <f t="shared" ref="F100:F105" si="7">IF(OR(G100="-",H100="-"),"-",IF(G100&gt;H100,1,IF(G100=H100,"X",2)))</f>
        <v>1</v>
      </c>
      <c r="G100" s="82">
        <v>3</v>
      </c>
      <c r="H100" s="82">
        <v>0</v>
      </c>
      <c r="I100" s="221"/>
      <c r="J100" s="237">
        <f>IF(M100="-",1,IF(M100=0,1,M100))</f>
        <v>1</v>
      </c>
      <c r="K100" s="238" t="str">
        <f>Beräkningar!AG39</f>
        <v>Portugal</v>
      </c>
      <c r="L100" s="239">
        <f>Beräkningar!AH39</f>
        <v>7</v>
      </c>
      <c r="M100" s="83"/>
      <c r="N100" s="205"/>
      <c r="O100" s="272"/>
      <c r="P100" s="274"/>
      <c r="Q100" s="274"/>
      <c r="R100" s="274"/>
      <c r="S100" s="274"/>
      <c r="T100" s="274"/>
      <c r="U100" s="274"/>
      <c r="V100" s="280"/>
      <c r="W100" s="274"/>
      <c r="X100" s="274"/>
      <c r="Y100" s="274"/>
    </row>
    <row r="101" spans="1:25" ht="11.25" customHeight="1" x14ac:dyDescent="0.2">
      <c r="A101" s="150" t="s">
        <v>135</v>
      </c>
      <c r="C101" s="3" t="str">
        <f>INDEX(Beräkningar!$G$4:$G$51,MATCH(A101,Beräkningar!$K$4:$K$51,0))&amp;" - "&amp;INDEX(Beräkningar!$H$4:$H$51,MATCH(A101,Beräkningar!$K$4:$K$51,0))</f>
        <v>Uruguay - Sydkorea</v>
      </c>
      <c r="D101" s="242" t="str">
        <f>INDEX(Beräkningar!$B$4:$B$51,MATCH(A101,Beräkningar!$K$4:$K$51,0))</f>
        <v>Tor 24/11</v>
      </c>
      <c r="E101" s="243">
        <f>INDEX(Beräkningar!$C$4:$C$51,MATCH(A101,Beräkningar!$K$4:$K$51,0))</f>
        <v>0.58333333333333337</v>
      </c>
      <c r="F101" s="236">
        <f t="shared" si="7"/>
        <v>1</v>
      </c>
      <c r="G101" s="82">
        <v>2</v>
      </c>
      <c r="H101" s="82">
        <v>0</v>
      </c>
      <c r="I101" s="221"/>
      <c r="J101" s="244">
        <f>IF(M101="-",2,IF(M101=0,2,M101))</f>
        <v>2</v>
      </c>
      <c r="K101" s="245" t="str">
        <f>Beräkningar!AG40</f>
        <v>Uruguay</v>
      </c>
      <c r="L101" s="246">
        <f>Beräkningar!AH40</f>
        <v>7</v>
      </c>
      <c r="M101" s="83"/>
      <c r="N101" s="205"/>
      <c r="O101" s="272"/>
      <c r="P101" s="274"/>
      <c r="Q101" s="274"/>
      <c r="R101" s="274"/>
      <c r="S101" s="274"/>
      <c r="T101" s="274"/>
      <c r="U101" s="274"/>
      <c r="V101" s="280"/>
      <c r="W101" s="274"/>
      <c r="X101" s="274"/>
      <c r="Y101" s="274"/>
    </row>
    <row r="102" spans="1:25" ht="11.25" customHeight="1" x14ac:dyDescent="0.2">
      <c r="A102" s="150" t="s">
        <v>136</v>
      </c>
      <c r="C102" s="3" t="str">
        <f>INDEX(Beräkningar!$G$4:$G$51,MATCH(A102,Beräkningar!$K$4:$K$51,0))&amp;" - "&amp;INDEX(Beräkningar!$H$4:$H$51,MATCH(A102,Beräkningar!$K$4:$K$51,0))</f>
        <v>Portugal - Uruguay</v>
      </c>
      <c r="D102" s="242" t="str">
        <f>INDEX(Beräkningar!$B$4:$B$51,MATCH(A102,Beräkningar!$K$4:$K$51,0))</f>
        <v>Mån 28/11</v>
      </c>
      <c r="E102" s="243">
        <f>INDEX(Beräkningar!$C$4:$C$51,MATCH(A102,Beräkningar!$K$4:$K$51,0))</f>
        <v>0.83333333333333337</v>
      </c>
      <c r="F102" s="236" t="str">
        <f t="shared" si="7"/>
        <v>X</v>
      </c>
      <c r="G102" s="82">
        <v>1</v>
      </c>
      <c r="H102" s="82">
        <v>1</v>
      </c>
      <c r="I102" s="221"/>
      <c r="J102" s="244">
        <f>IF(M102="-",3,IF(M102=0,3,M102))</f>
        <v>3</v>
      </c>
      <c r="K102" s="245" t="str">
        <f>Beräkningar!AG41</f>
        <v>Ghana</v>
      </c>
      <c r="L102" s="246">
        <f>Beräkningar!AH41</f>
        <v>3</v>
      </c>
      <c r="M102" s="83"/>
      <c r="N102" s="205"/>
      <c r="O102" s="272"/>
      <c r="P102" s="274"/>
      <c r="Q102" s="274"/>
      <c r="R102" s="274"/>
      <c r="S102" s="274"/>
      <c r="T102" s="274"/>
      <c r="U102" s="274"/>
      <c r="V102" s="280"/>
      <c r="W102" s="274"/>
      <c r="X102" s="274"/>
      <c r="Y102" s="274"/>
    </row>
    <row r="103" spans="1:25" ht="11.25" customHeight="1" x14ac:dyDescent="0.2">
      <c r="A103" s="150" t="s">
        <v>137</v>
      </c>
      <c r="C103" s="3" t="str">
        <f>INDEX(Beräkningar!$G$4:$G$51,MATCH(A103,Beräkningar!$K$4:$K$51,0))&amp;" - "&amp;INDEX(Beräkningar!$H$4:$H$51,MATCH(A103,Beräkningar!$K$4:$K$51,0))</f>
        <v>Sydkorea - Ghana</v>
      </c>
      <c r="D103" s="242" t="str">
        <f>INDEX(Beräkningar!$B$4:$B$51,MATCH(A103,Beräkningar!$K$4:$K$51,0))</f>
        <v>Mån 28/11</v>
      </c>
      <c r="E103" s="243">
        <f>INDEX(Beräkningar!$C$4:$C$51,MATCH(A103,Beräkningar!$K$4:$K$51,0))</f>
        <v>0.58333333333333337</v>
      </c>
      <c r="F103" s="236">
        <f t="shared" si="7"/>
        <v>2</v>
      </c>
      <c r="G103" s="82">
        <v>0</v>
      </c>
      <c r="H103" s="82">
        <v>1</v>
      </c>
      <c r="I103" s="221"/>
      <c r="J103" s="248">
        <f>IF(M103="-",4,IF(M103=0,4,M103))</f>
        <v>4</v>
      </c>
      <c r="K103" s="249" t="str">
        <f>Beräkningar!AG42</f>
        <v>Sydkorea</v>
      </c>
      <c r="L103" s="250">
        <f>Beräkningar!AH42</f>
        <v>0</v>
      </c>
      <c r="M103" s="83"/>
      <c r="N103" s="205"/>
      <c r="O103" s="272"/>
      <c r="P103" s="274"/>
      <c r="Q103" s="274"/>
      <c r="R103" s="274"/>
      <c r="S103" s="274"/>
      <c r="T103" s="274"/>
      <c r="U103" s="274"/>
      <c r="V103" s="280"/>
      <c r="W103" s="274"/>
      <c r="X103" s="274"/>
      <c r="Y103" s="274"/>
    </row>
    <row r="104" spans="1:25" ht="11.25" customHeight="1" x14ac:dyDescent="0.2">
      <c r="A104" s="150" t="s">
        <v>170</v>
      </c>
      <c r="C104" s="3" t="str">
        <f>INDEX(Beräkningar!$G$4:$G$51,MATCH(A104,Beräkningar!$K$4:$K$51,0))&amp;" - "&amp;INDEX(Beräkningar!$H$4:$H$51,MATCH(A104,Beräkningar!$K$4:$K$51,0))</f>
        <v>Ghana - Uruguay</v>
      </c>
      <c r="D104" s="242" t="str">
        <f>INDEX(Beräkningar!$B$4:$B$51,MATCH(A104,Beräkningar!$K$4:$K$51,0))</f>
        <v>Fre 2/12</v>
      </c>
      <c r="E104" s="243">
        <f>INDEX(Beräkningar!$C$4:$C$51,MATCH(A104,Beräkningar!$K$4:$K$51,0))</f>
        <v>0.66666666666666663</v>
      </c>
      <c r="F104" s="236">
        <f t="shared" si="7"/>
        <v>2</v>
      </c>
      <c r="G104" s="82">
        <v>0</v>
      </c>
      <c r="H104" s="82">
        <v>2</v>
      </c>
      <c r="I104" s="221"/>
      <c r="J104" s="79">
        <f>IF(MAX(Beräkningar!AL39:AL42)&gt;1,1,0)</f>
        <v>0</v>
      </c>
      <c r="K104" s="251" t="s">
        <v>220</v>
      </c>
      <c r="L104" s="205"/>
      <c r="M104" s="205"/>
      <c r="N104" s="205"/>
      <c r="O104" s="272"/>
      <c r="P104" s="274"/>
      <c r="Q104" s="274"/>
      <c r="R104" s="274"/>
      <c r="S104" s="274"/>
      <c r="T104" s="274"/>
      <c r="U104" s="274"/>
      <c r="V104" s="280"/>
      <c r="W104" s="274"/>
      <c r="X104" s="274"/>
      <c r="Y104" s="274"/>
    </row>
    <row r="105" spans="1:25" ht="11.25" customHeight="1" x14ac:dyDescent="0.2">
      <c r="A105" s="150" t="s">
        <v>171</v>
      </c>
      <c r="C105" s="4" t="str">
        <f>INDEX(Beräkningar!$G$4:$G$51,MATCH(A105,Beräkningar!$K$4:$K$51,0))&amp;" - "&amp;INDEX(Beräkningar!$H$4:$H$51,MATCH(A105,Beräkningar!$K$4:$K$51,0))</f>
        <v>Sydkorea - Portugal</v>
      </c>
      <c r="D105" s="252" t="str">
        <f>INDEX(Beräkningar!$B$4:$B$51,MATCH(A105,Beräkningar!$K$4:$K$51,0))</f>
        <v>Fre 2/12</v>
      </c>
      <c r="E105" s="253">
        <f>INDEX(Beräkningar!$C$4:$C$51,MATCH(A105,Beräkningar!$K$4:$K$51,0))</f>
        <v>0.66666666666666663</v>
      </c>
      <c r="F105" s="236">
        <f t="shared" si="7"/>
        <v>2</v>
      </c>
      <c r="G105" s="82">
        <v>0</v>
      </c>
      <c r="H105" s="82">
        <v>2</v>
      </c>
      <c r="I105" s="221"/>
      <c r="J105" s="222"/>
      <c r="K105" s="205"/>
      <c r="L105" s="205"/>
      <c r="M105" s="205"/>
      <c r="N105" s="205"/>
      <c r="O105" s="272"/>
      <c r="P105" s="274"/>
      <c r="Q105" s="274"/>
      <c r="R105" s="274"/>
      <c r="S105" s="274"/>
      <c r="T105" s="274"/>
      <c r="U105" s="274"/>
      <c r="V105" s="280"/>
      <c r="W105" s="274"/>
      <c r="X105" s="274"/>
      <c r="Y105" s="274"/>
    </row>
    <row r="106" spans="1:25" ht="11.25" customHeight="1" x14ac:dyDescent="0.2">
      <c r="A106" s="150"/>
      <c r="C106" s="254" t="s">
        <v>7</v>
      </c>
      <c r="D106" s="205"/>
      <c r="E106" s="205"/>
      <c r="F106" s="205"/>
      <c r="G106" s="205"/>
      <c r="H106" s="221"/>
      <c r="I106" s="221"/>
      <c r="J106" s="222"/>
      <c r="K106" s="205"/>
      <c r="L106" s="205"/>
      <c r="M106" s="205"/>
      <c r="N106" s="205"/>
      <c r="O106" s="272"/>
      <c r="P106" s="274"/>
      <c r="Q106" s="274"/>
      <c r="R106" s="274"/>
      <c r="S106" s="274"/>
      <c r="T106" s="274"/>
      <c r="U106" s="274"/>
      <c r="V106" s="280"/>
      <c r="W106" s="274"/>
      <c r="X106" s="274"/>
      <c r="Y106" s="274"/>
    </row>
    <row r="107" spans="1:25" ht="11.25" customHeight="1" x14ac:dyDescent="0.2">
      <c r="A107" s="150"/>
      <c r="C107" s="255" t="s">
        <v>16</v>
      </c>
      <c r="D107" s="205"/>
      <c r="E107" s="205"/>
      <c r="F107" s="205"/>
      <c r="G107" s="205"/>
      <c r="H107" s="221"/>
      <c r="I107" s="221"/>
      <c r="J107" s="222"/>
      <c r="K107" s="205"/>
      <c r="L107" s="205"/>
      <c r="M107" s="205"/>
      <c r="N107" s="205"/>
      <c r="O107" s="272"/>
      <c r="P107" s="274"/>
      <c r="Q107" s="274"/>
      <c r="R107" s="274"/>
      <c r="S107" s="274"/>
      <c r="T107" s="274"/>
      <c r="U107" s="274"/>
      <c r="V107" s="280"/>
      <c r="W107" s="274"/>
      <c r="X107" s="274"/>
      <c r="Y107" s="274"/>
    </row>
    <row r="108" spans="1:25" ht="11.25" customHeight="1" x14ac:dyDescent="0.2">
      <c r="A108" s="150"/>
      <c r="C108" s="256" t="s">
        <v>5</v>
      </c>
      <c r="D108" s="205"/>
      <c r="E108" s="205"/>
      <c r="F108" s="205"/>
      <c r="G108" s="205"/>
      <c r="H108" s="221"/>
      <c r="I108" s="221"/>
      <c r="J108" s="222"/>
      <c r="K108" s="205"/>
      <c r="L108" s="205"/>
      <c r="M108" s="205"/>
      <c r="N108" s="205"/>
      <c r="O108" s="272"/>
      <c r="P108" s="274"/>
      <c r="Q108" s="274"/>
      <c r="R108" s="274"/>
      <c r="S108" s="274"/>
      <c r="T108" s="274"/>
      <c r="U108" s="274"/>
      <c r="V108" s="280"/>
      <c r="W108" s="274"/>
      <c r="X108" s="274"/>
      <c r="Y108" s="274"/>
    </row>
    <row r="109" spans="1:25" ht="11.25" customHeight="1" x14ac:dyDescent="0.2">
      <c r="A109" s="150"/>
      <c r="C109" s="285"/>
      <c r="D109" s="284"/>
      <c r="E109" s="284"/>
      <c r="F109" s="205"/>
      <c r="G109" s="205"/>
      <c r="H109" s="221"/>
      <c r="I109" s="221"/>
      <c r="J109" s="222"/>
      <c r="K109" s="205"/>
      <c r="L109" s="205"/>
      <c r="M109" s="205"/>
      <c r="N109" s="205"/>
      <c r="O109" s="272"/>
      <c r="P109" s="274"/>
      <c r="Q109" s="274"/>
      <c r="R109" s="274"/>
      <c r="S109" s="274"/>
      <c r="T109" s="274"/>
      <c r="U109" s="274"/>
      <c r="V109" s="280"/>
      <c r="W109" s="274"/>
      <c r="X109" s="274"/>
      <c r="Y109" s="274"/>
    </row>
    <row r="110" spans="1:25" ht="11.25" customHeight="1" x14ac:dyDescent="0.2">
      <c r="A110" s="150"/>
      <c r="C110" s="285"/>
      <c r="D110" s="284"/>
      <c r="E110" s="284"/>
      <c r="F110" s="205"/>
      <c r="G110" s="205"/>
      <c r="H110" s="221"/>
      <c r="I110" s="221"/>
      <c r="J110" s="222"/>
      <c r="K110" s="205"/>
      <c r="L110" s="205"/>
      <c r="M110" s="205"/>
      <c r="N110" s="205"/>
      <c r="O110" s="272"/>
      <c r="P110" s="274"/>
      <c r="Q110" s="274"/>
      <c r="R110" s="274"/>
      <c r="S110" s="274"/>
      <c r="T110" s="274"/>
      <c r="U110" s="274"/>
      <c r="V110" s="280"/>
      <c r="W110" s="274"/>
      <c r="X110" s="274"/>
      <c r="Y110" s="274"/>
    </row>
    <row r="111" spans="1:25" ht="11.25" customHeight="1" x14ac:dyDescent="0.2">
      <c r="A111" s="150"/>
      <c r="C111" s="287" t="s">
        <v>247</v>
      </c>
      <c r="D111" s="288"/>
      <c r="E111" s="288"/>
      <c r="F111" s="289"/>
      <c r="G111" s="289"/>
      <c r="H111" s="290"/>
      <c r="I111" s="290"/>
      <c r="J111" s="291"/>
      <c r="K111" s="289"/>
      <c r="L111" s="289"/>
      <c r="M111" s="289"/>
      <c r="N111" s="289"/>
      <c r="O111" s="289"/>
      <c r="P111" s="289"/>
      <c r="Q111" s="289"/>
      <c r="R111" s="289"/>
      <c r="S111" s="289"/>
      <c r="T111" s="289"/>
      <c r="U111" s="289"/>
      <c r="V111" s="289"/>
      <c r="W111" s="289"/>
      <c r="X111" s="289"/>
      <c r="Y111" s="289"/>
    </row>
    <row r="112" spans="1:25" hidden="1" x14ac:dyDescent="0.2">
      <c r="A112" s="165"/>
      <c r="B112" s="165"/>
    </row>
    <row r="113" spans="1:2" hidden="1" x14ac:dyDescent="0.2">
      <c r="A113" s="165"/>
      <c r="B113" s="165"/>
    </row>
    <row r="114" spans="1:2" hidden="1" x14ac:dyDescent="0.2">
      <c r="A114" s="165"/>
      <c r="B114" s="165"/>
    </row>
    <row r="115" spans="1:2" hidden="1" x14ac:dyDescent="0.2">
      <c r="A115" s="165"/>
      <c r="B115" s="165"/>
    </row>
    <row r="116" spans="1:2" hidden="1" x14ac:dyDescent="0.2">
      <c r="A116" s="165"/>
      <c r="B116" s="165"/>
    </row>
    <row r="117" spans="1:2" hidden="1" x14ac:dyDescent="0.2">
      <c r="A117" s="165"/>
      <c r="B117" s="165"/>
    </row>
    <row r="118" spans="1:2" hidden="1" x14ac:dyDescent="0.2">
      <c r="A118" s="165"/>
      <c r="B118" s="165"/>
    </row>
    <row r="119" spans="1:2" hidden="1" x14ac:dyDescent="0.2">
      <c r="A119" s="165"/>
      <c r="B119" s="165"/>
    </row>
    <row r="120" spans="1:2" hidden="1" x14ac:dyDescent="0.2">
      <c r="A120" s="165"/>
      <c r="B120" s="165"/>
    </row>
    <row r="121" spans="1:2" hidden="1" x14ac:dyDescent="0.2">
      <c r="A121" s="165"/>
      <c r="B121" s="165"/>
    </row>
    <row r="122" spans="1:2" hidden="1" x14ac:dyDescent="0.2">
      <c r="A122" s="165"/>
      <c r="B122" s="165"/>
    </row>
    <row r="123" spans="1:2" hidden="1" x14ac:dyDescent="0.2">
      <c r="A123" s="165"/>
      <c r="B123" s="165"/>
    </row>
    <row r="124" spans="1:2" hidden="1" x14ac:dyDescent="0.2">
      <c r="A124" s="165"/>
      <c r="B124" s="165"/>
    </row>
    <row r="125" spans="1:2" hidden="1" x14ac:dyDescent="0.2">
      <c r="A125" s="165"/>
      <c r="B125" s="165"/>
    </row>
    <row r="126" spans="1:2" hidden="1" x14ac:dyDescent="0.2">
      <c r="A126" s="165"/>
      <c r="B126" s="165"/>
    </row>
    <row r="127" spans="1:2" hidden="1" x14ac:dyDescent="0.2">
      <c r="A127" s="165"/>
      <c r="B127" s="165"/>
    </row>
    <row r="128" spans="1:2" hidden="1" x14ac:dyDescent="0.2">
      <c r="A128" s="165"/>
      <c r="B128" s="165"/>
    </row>
    <row r="129" spans="1:2" hidden="1" x14ac:dyDescent="0.2">
      <c r="A129" s="165"/>
      <c r="B129" s="165"/>
    </row>
    <row r="130" spans="1:2" hidden="1" x14ac:dyDescent="0.2">
      <c r="A130" s="165"/>
      <c r="B130" s="165"/>
    </row>
    <row r="131" spans="1:2" hidden="1" x14ac:dyDescent="0.2">
      <c r="A131" s="165"/>
      <c r="B131" s="165"/>
    </row>
    <row r="132" spans="1:2" hidden="1" x14ac:dyDescent="0.2">
      <c r="A132" s="165"/>
      <c r="B132" s="165"/>
    </row>
    <row r="133" spans="1:2" hidden="1" x14ac:dyDescent="0.2">
      <c r="A133" s="165"/>
      <c r="B133" s="165"/>
    </row>
    <row r="134" spans="1:2" hidden="1" x14ac:dyDescent="0.2">
      <c r="A134" s="165"/>
      <c r="B134" s="165"/>
    </row>
    <row r="135" spans="1:2" hidden="1" x14ac:dyDescent="0.2">
      <c r="A135" s="165"/>
      <c r="B135" s="165"/>
    </row>
    <row r="136" spans="1:2" hidden="1" x14ac:dyDescent="0.2">
      <c r="A136" s="165"/>
      <c r="B136" s="165"/>
    </row>
    <row r="137" spans="1:2" hidden="1" x14ac:dyDescent="0.2">
      <c r="A137" s="165"/>
      <c r="B137" s="165"/>
    </row>
    <row r="138" spans="1:2" hidden="1" x14ac:dyDescent="0.2">
      <c r="A138" s="165"/>
      <c r="B138" s="165"/>
    </row>
    <row r="139" spans="1:2" hidden="1" x14ac:dyDescent="0.2">
      <c r="A139" s="165"/>
      <c r="B139" s="165"/>
    </row>
    <row r="140" spans="1:2" hidden="1" x14ac:dyDescent="0.2">
      <c r="A140" s="165"/>
      <c r="B140" s="165"/>
    </row>
    <row r="141" spans="1:2" hidden="1" x14ac:dyDescent="0.2">
      <c r="A141" s="165"/>
      <c r="B141" s="165"/>
    </row>
    <row r="142" spans="1:2" hidden="1" x14ac:dyDescent="0.2">
      <c r="A142" s="165"/>
      <c r="B142" s="165"/>
    </row>
    <row r="143" spans="1:2" hidden="1" x14ac:dyDescent="0.2">
      <c r="A143" s="165"/>
      <c r="B143" s="165"/>
    </row>
    <row r="144" spans="1:2" hidden="1" x14ac:dyDescent="0.2">
      <c r="A144" s="165"/>
      <c r="B144" s="165"/>
    </row>
    <row r="145" spans="1:2" hidden="1" x14ac:dyDescent="0.2">
      <c r="A145" s="165"/>
      <c r="B145" s="165"/>
    </row>
    <row r="146" spans="1:2" hidden="1" x14ac:dyDescent="0.2">
      <c r="A146" s="165"/>
      <c r="B146" s="165"/>
    </row>
    <row r="147" spans="1:2" hidden="1" x14ac:dyDescent="0.2">
      <c r="A147" s="165"/>
      <c r="B147" s="165"/>
    </row>
    <row r="148" spans="1:2" hidden="1" x14ac:dyDescent="0.2">
      <c r="A148" s="165"/>
      <c r="B148" s="165"/>
    </row>
    <row r="149" spans="1:2" hidden="1" x14ac:dyDescent="0.2">
      <c r="A149" s="165"/>
      <c r="B149" s="165"/>
    </row>
    <row r="150" spans="1:2" hidden="1" x14ac:dyDescent="0.2">
      <c r="A150" s="165"/>
      <c r="B150" s="165"/>
    </row>
    <row r="151" spans="1:2" hidden="1" x14ac:dyDescent="0.2">
      <c r="A151" s="165"/>
      <c r="B151" s="165"/>
    </row>
    <row r="152" spans="1:2" hidden="1" x14ac:dyDescent="0.2">
      <c r="A152" s="165"/>
      <c r="B152" s="165"/>
    </row>
    <row r="153" spans="1:2" hidden="1" x14ac:dyDescent="0.2">
      <c r="A153" s="165"/>
      <c r="B153" s="165"/>
    </row>
    <row r="154" spans="1:2" hidden="1" x14ac:dyDescent="0.2">
      <c r="A154" s="165"/>
      <c r="B154" s="165"/>
    </row>
    <row r="155" spans="1:2" hidden="1" x14ac:dyDescent="0.2">
      <c r="A155" s="165"/>
      <c r="B155" s="165"/>
    </row>
    <row r="156" spans="1:2" hidden="1" x14ac:dyDescent="0.2">
      <c r="A156" s="165"/>
      <c r="B156" s="165"/>
    </row>
    <row r="157" spans="1:2" hidden="1" x14ac:dyDescent="0.2">
      <c r="A157" s="165"/>
      <c r="B157" s="165"/>
    </row>
    <row r="158" spans="1:2" hidden="1" x14ac:dyDescent="0.2">
      <c r="A158" s="165"/>
      <c r="B158" s="165"/>
    </row>
    <row r="159" spans="1:2" hidden="1" x14ac:dyDescent="0.2">
      <c r="A159" s="165"/>
      <c r="B159" s="165"/>
    </row>
    <row r="160" spans="1:2" hidden="1" x14ac:dyDescent="0.2">
      <c r="A160" s="165"/>
      <c r="B160" s="165"/>
    </row>
    <row r="161" spans="1:2" hidden="1" x14ac:dyDescent="0.2">
      <c r="A161" s="165"/>
      <c r="B161" s="165"/>
    </row>
    <row r="162" spans="1:2" hidden="1" x14ac:dyDescent="0.2">
      <c r="A162" s="165"/>
      <c r="B162" s="165"/>
    </row>
    <row r="163" spans="1:2" hidden="1" x14ac:dyDescent="0.2">
      <c r="A163" s="165"/>
      <c r="B163" s="165"/>
    </row>
    <row r="164" spans="1:2" hidden="1" x14ac:dyDescent="0.2">
      <c r="A164" s="165"/>
      <c r="B164" s="165"/>
    </row>
    <row r="165" spans="1:2" hidden="1" x14ac:dyDescent="0.2">
      <c r="A165" s="165"/>
      <c r="B165" s="165"/>
    </row>
    <row r="166" spans="1:2" hidden="1" x14ac:dyDescent="0.2">
      <c r="A166" s="165"/>
      <c r="B166" s="165"/>
    </row>
    <row r="167" spans="1:2" hidden="1" x14ac:dyDescent="0.2">
      <c r="A167" s="165"/>
      <c r="B167" s="165"/>
    </row>
    <row r="168" spans="1:2" hidden="1" x14ac:dyDescent="0.2">
      <c r="A168" s="165"/>
      <c r="B168" s="165"/>
    </row>
    <row r="169" spans="1:2" hidden="1" x14ac:dyDescent="0.2">
      <c r="A169" s="165"/>
      <c r="B169" s="165"/>
    </row>
    <row r="170" spans="1:2" hidden="1" x14ac:dyDescent="0.2">
      <c r="A170" s="165"/>
      <c r="B170" s="165"/>
    </row>
    <row r="171" spans="1:2" hidden="1" x14ac:dyDescent="0.2">
      <c r="A171" s="165"/>
      <c r="B171" s="165"/>
    </row>
    <row r="172" spans="1:2" hidden="1" x14ac:dyDescent="0.2">
      <c r="A172" s="165"/>
      <c r="B172" s="165"/>
    </row>
    <row r="173" spans="1:2" hidden="1" x14ac:dyDescent="0.2">
      <c r="A173" s="165"/>
      <c r="B173" s="165"/>
    </row>
    <row r="174" spans="1:2" hidden="1" x14ac:dyDescent="0.2">
      <c r="A174" s="165"/>
      <c r="B174" s="165"/>
    </row>
    <row r="175" spans="1:2" hidden="1" x14ac:dyDescent="0.2">
      <c r="A175" s="165"/>
      <c r="B175" s="165"/>
    </row>
    <row r="176" spans="1:2" hidden="1" x14ac:dyDescent="0.2">
      <c r="A176" s="165"/>
      <c r="B176" s="165"/>
    </row>
    <row r="177" spans="1:2" hidden="1" x14ac:dyDescent="0.2">
      <c r="A177" s="165"/>
      <c r="B177" s="165"/>
    </row>
    <row r="178" spans="1:2" hidden="1" x14ac:dyDescent="0.2">
      <c r="A178" s="165"/>
      <c r="B178" s="165"/>
    </row>
    <row r="179" spans="1:2" hidden="1" x14ac:dyDescent="0.2">
      <c r="A179" s="165"/>
      <c r="B179" s="165"/>
    </row>
    <row r="180" spans="1:2" hidden="1" x14ac:dyDescent="0.2">
      <c r="A180" s="165"/>
      <c r="B180" s="165"/>
    </row>
    <row r="181" spans="1:2" hidden="1" x14ac:dyDescent="0.2">
      <c r="A181" s="165"/>
      <c r="B181" s="165"/>
    </row>
    <row r="182" spans="1:2" hidden="1" x14ac:dyDescent="0.2">
      <c r="A182" s="165"/>
      <c r="B182" s="165"/>
    </row>
    <row r="183" spans="1:2" hidden="1" x14ac:dyDescent="0.2">
      <c r="A183" s="165"/>
      <c r="B183" s="165"/>
    </row>
    <row r="184" spans="1:2" hidden="1" x14ac:dyDescent="0.2">
      <c r="A184" s="165"/>
      <c r="B184" s="165"/>
    </row>
    <row r="185" spans="1:2" hidden="1" x14ac:dyDescent="0.2">
      <c r="A185" s="165"/>
      <c r="B185" s="165"/>
    </row>
    <row r="186" spans="1:2" hidden="1" x14ac:dyDescent="0.2">
      <c r="A186" s="165"/>
      <c r="B186" s="165"/>
    </row>
    <row r="187" spans="1:2" hidden="1" x14ac:dyDescent="0.2">
      <c r="A187" s="165"/>
      <c r="B187" s="165"/>
    </row>
    <row r="188" spans="1:2" hidden="1" x14ac:dyDescent="0.2">
      <c r="A188" s="165"/>
      <c r="B188" s="165"/>
    </row>
    <row r="189" spans="1:2" hidden="1" x14ac:dyDescent="0.2">
      <c r="A189" s="165"/>
      <c r="B189" s="165"/>
    </row>
    <row r="190" spans="1:2" hidden="1" x14ac:dyDescent="0.2">
      <c r="A190" s="165"/>
      <c r="B190" s="165"/>
    </row>
    <row r="191" spans="1:2" hidden="1" x14ac:dyDescent="0.2">
      <c r="A191" s="165"/>
      <c r="B191" s="165"/>
    </row>
    <row r="192" spans="1:2" hidden="1" x14ac:dyDescent="0.2">
      <c r="A192" s="165"/>
      <c r="B192" s="165"/>
    </row>
    <row r="193" spans="1:2" hidden="1" x14ac:dyDescent="0.2">
      <c r="A193" s="165"/>
      <c r="B193" s="165"/>
    </row>
    <row r="194" spans="1:2" hidden="1" x14ac:dyDescent="0.2">
      <c r="A194" s="165"/>
      <c r="B194" s="165"/>
    </row>
    <row r="195" spans="1:2" hidden="1" x14ac:dyDescent="0.2">
      <c r="A195" s="165"/>
      <c r="B195" s="165"/>
    </row>
    <row r="196" spans="1:2" hidden="1" x14ac:dyDescent="0.2">
      <c r="A196" s="165"/>
      <c r="B196" s="165"/>
    </row>
    <row r="197" spans="1:2" hidden="1" x14ac:dyDescent="0.2">
      <c r="A197" s="165"/>
      <c r="B197" s="165"/>
    </row>
    <row r="198" spans="1:2" hidden="1" x14ac:dyDescent="0.2">
      <c r="A198" s="165"/>
      <c r="B198" s="165"/>
    </row>
    <row r="199" spans="1:2" hidden="1" x14ac:dyDescent="0.2">
      <c r="A199" s="165"/>
      <c r="B199" s="165"/>
    </row>
    <row r="200" spans="1:2" hidden="1" x14ac:dyDescent="0.2">
      <c r="A200" s="165"/>
      <c r="B200" s="165"/>
    </row>
    <row r="201" spans="1:2" hidden="1" x14ac:dyDescent="0.2">
      <c r="A201" s="165"/>
      <c r="B201" s="165"/>
    </row>
    <row r="202" spans="1:2" hidden="1" x14ac:dyDescent="0.2">
      <c r="A202" s="165"/>
      <c r="B202" s="165"/>
    </row>
    <row r="203" spans="1:2" hidden="1" x14ac:dyDescent="0.2">
      <c r="A203" s="165"/>
      <c r="B203" s="165"/>
    </row>
    <row r="204" spans="1:2" hidden="1" x14ac:dyDescent="0.2">
      <c r="A204" s="165"/>
      <c r="B204" s="165"/>
    </row>
    <row r="205" spans="1:2" hidden="1" x14ac:dyDescent="0.2">
      <c r="A205" s="165"/>
      <c r="B205" s="165"/>
    </row>
    <row r="206" spans="1:2" hidden="1" x14ac:dyDescent="0.2">
      <c r="A206" s="165"/>
      <c r="B206" s="165"/>
    </row>
    <row r="207" spans="1:2" hidden="1" x14ac:dyDescent="0.2">
      <c r="A207" s="165"/>
      <c r="B207" s="165"/>
    </row>
    <row r="208" spans="1:2" hidden="1" x14ac:dyDescent="0.2">
      <c r="A208" s="165"/>
      <c r="B208" s="165"/>
    </row>
    <row r="209" spans="1:2" hidden="1" x14ac:dyDescent="0.2">
      <c r="A209" s="165"/>
      <c r="B209" s="165"/>
    </row>
    <row r="210" spans="1:2" hidden="1" x14ac:dyDescent="0.2">
      <c r="A210" s="165"/>
      <c r="B210" s="165"/>
    </row>
    <row r="211" spans="1:2" hidden="1" x14ac:dyDescent="0.2">
      <c r="A211" s="165"/>
      <c r="B211" s="165"/>
    </row>
    <row r="212" spans="1:2" hidden="1" x14ac:dyDescent="0.2">
      <c r="A212" s="165"/>
      <c r="B212" s="165"/>
    </row>
    <row r="213" spans="1:2" hidden="1" x14ac:dyDescent="0.2">
      <c r="A213" s="165"/>
      <c r="B213" s="165"/>
    </row>
    <row r="214" spans="1:2" hidden="1" x14ac:dyDescent="0.2">
      <c r="A214" s="165"/>
      <c r="B214" s="165"/>
    </row>
    <row r="215" spans="1:2" hidden="1" x14ac:dyDescent="0.2">
      <c r="A215" s="165"/>
      <c r="B215" s="165"/>
    </row>
    <row r="216" spans="1:2" hidden="1" x14ac:dyDescent="0.2">
      <c r="A216" s="165"/>
      <c r="B216" s="165"/>
    </row>
    <row r="217" spans="1:2" hidden="1" x14ac:dyDescent="0.2">
      <c r="A217" s="165"/>
      <c r="B217" s="165"/>
    </row>
    <row r="218" spans="1:2" hidden="1" x14ac:dyDescent="0.2">
      <c r="A218" s="165"/>
      <c r="B218" s="165"/>
    </row>
    <row r="219" spans="1:2" hidden="1" x14ac:dyDescent="0.2">
      <c r="A219" s="165"/>
      <c r="B219" s="165"/>
    </row>
    <row r="220" spans="1:2" hidden="1" x14ac:dyDescent="0.2">
      <c r="A220" s="165"/>
      <c r="B220" s="165"/>
    </row>
    <row r="221" spans="1:2" hidden="1" x14ac:dyDescent="0.2">
      <c r="A221" s="165"/>
      <c r="B221" s="165"/>
    </row>
    <row r="222" spans="1:2" hidden="1" x14ac:dyDescent="0.2">
      <c r="A222" s="165"/>
      <c r="B222" s="165"/>
    </row>
    <row r="223" spans="1:2" hidden="1" x14ac:dyDescent="0.2">
      <c r="A223" s="165"/>
      <c r="B223" s="165"/>
    </row>
    <row r="224" spans="1:2" hidden="1" x14ac:dyDescent="0.2">
      <c r="A224" s="165"/>
      <c r="B224" s="165"/>
    </row>
    <row r="225" spans="1:2" hidden="1" x14ac:dyDescent="0.2">
      <c r="A225" s="165"/>
      <c r="B225" s="165"/>
    </row>
    <row r="226" spans="1:2" hidden="1" x14ac:dyDescent="0.2">
      <c r="A226" s="165"/>
      <c r="B226" s="165"/>
    </row>
    <row r="227" spans="1:2" hidden="1" x14ac:dyDescent="0.2">
      <c r="A227" s="165"/>
      <c r="B227" s="165"/>
    </row>
    <row r="228" spans="1:2" hidden="1" x14ac:dyDescent="0.2">
      <c r="A228" s="165"/>
      <c r="B228" s="165"/>
    </row>
    <row r="229" spans="1:2" hidden="1" x14ac:dyDescent="0.2">
      <c r="A229" s="165"/>
      <c r="B229" s="165"/>
    </row>
    <row r="230" spans="1:2" hidden="1" x14ac:dyDescent="0.2">
      <c r="A230" s="165"/>
      <c r="B230" s="165"/>
    </row>
    <row r="231" spans="1:2" hidden="1" x14ac:dyDescent="0.2">
      <c r="A231" s="165"/>
      <c r="B231" s="165"/>
    </row>
    <row r="232" spans="1:2" hidden="1" x14ac:dyDescent="0.2">
      <c r="A232" s="165"/>
      <c r="B232" s="165"/>
    </row>
    <row r="233" spans="1:2" hidden="1" x14ac:dyDescent="0.2">
      <c r="A233" s="165"/>
      <c r="B233" s="165"/>
    </row>
    <row r="234" spans="1:2" hidden="1" x14ac:dyDescent="0.2">
      <c r="A234" s="165"/>
      <c r="B234" s="165"/>
    </row>
    <row r="235" spans="1:2" hidden="1" x14ac:dyDescent="0.2">
      <c r="A235" s="165"/>
      <c r="B235" s="165"/>
    </row>
    <row r="236" spans="1:2" hidden="1" x14ac:dyDescent="0.2">
      <c r="A236" s="165"/>
      <c r="B236" s="165"/>
    </row>
    <row r="237" spans="1:2" hidden="1" x14ac:dyDescent="0.2">
      <c r="A237" s="165"/>
      <c r="B237" s="165"/>
    </row>
    <row r="238" spans="1:2" hidden="1" x14ac:dyDescent="0.2">
      <c r="A238" s="165"/>
      <c r="B238" s="165"/>
    </row>
    <row r="239" spans="1:2" hidden="1" x14ac:dyDescent="0.2">
      <c r="A239" s="165"/>
      <c r="B239" s="165"/>
    </row>
    <row r="240" spans="1:2" hidden="1" x14ac:dyDescent="0.2">
      <c r="A240" s="165"/>
      <c r="B240" s="165"/>
    </row>
    <row r="241" spans="1:2" hidden="1" x14ac:dyDescent="0.2">
      <c r="A241" s="165"/>
      <c r="B241" s="165"/>
    </row>
    <row r="242" spans="1:2" hidden="1" x14ac:dyDescent="0.2">
      <c r="A242" s="165"/>
      <c r="B242" s="165"/>
    </row>
    <row r="243" spans="1:2" hidden="1" x14ac:dyDescent="0.2">
      <c r="A243" s="165"/>
      <c r="B243" s="165"/>
    </row>
    <row r="244" spans="1:2" hidden="1" x14ac:dyDescent="0.2">
      <c r="A244" s="165"/>
      <c r="B244" s="165"/>
    </row>
    <row r="245" spans="1:2" hidden="1" x14ac:dyDescent="0.2">
      <c r="A245" s="165"/>
      <c r="B245" s="165"/>
    </row>
  </sheetData>
  <sheetProtection algorithmName="SHA-512" hashValue="/A+NPfzEYIE+KNZ1q2h1chMBqNwTgIO+X7OGQwc62FrS56/NqOZct0GHVJnYGAfmxPWEDa9Hj7u5g5A6GRu4VA==" saltValue="YrWDjQkBEV5Us5NW66dq8w==" spinCount="100000" sheet="1" objects="1" scenarios="1"/>
  <sortState xmlns:xlrd2="http://schemas.microsoft.com/office/spreadsheetml/2017/richdata2" ref="A11:A35">
    <sortCondition ref="A11:A35"/>
  </sortState>
  <dataConsolidate/>
  <phoneticPr fontId="2" type="noConversion"/>
  <conditionalFormatting sqref="D3">
    <cfRule type="expression" dxfId="0" priority="1">
      <formula>SUM(J27,J38,J49,J60,J71,J82,T37)&gt;0</formula>
    </cfRule>
  </conditionalFormatting>
  <dataValidations count="2">
    <dataValidation type="list" allowBlank="1" showInputMessage="1" showErrorMessage="1" sqref="M23:M26 M89:M92 M100:M103 M45:M48 M56:M59 M67:M70 M34:M37 M78:M81" xr:uid="{00000000-0002-0000-0000-000000000000}">
      <formula1>$A$4:$A$8</formula1>
    </dataValidation>
    <dataValidation type="list" allowBlank="1" showInputMessage="1" showErrorMessage="1" sqref="G23:H28 G100:H105 G56:H61 G78:H83 G89:H94 G34:H39 G45:H50 G67:H72" xr:uid="{00000000-0002-0000-0000-000001000000}">
      <formula1>$A$10:$A$22</formula1>
    </dataValidation>
  </dataValidations>
  <hyperlinks>
    <hyperlink ref="K5" r:id="rId1" xr:uid="{00000000-0004-0000-0000-000000000000}"/>
  </hyperlinks>
  <printOptions horizontalCentered="1" verticalCentered="1"/>
  <pageMargins left="0.19685039370078741" right="0.19685039370078741" top="0.19685039370078741" bottom="0" header="0" footer="0"/>
  <pageSetup paperSize="9" scale="90" orientation="portrait" r:id="rId2"/>
  <headerFooter alignWithMargins="0"/>
  <drawing r:id="rId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0000000-0002-0000-0000-000002000000}">
          <x14:formula1>
            <xm:f>Beräkningar!$N$52:$O$52</xm:f>
          </x14:formula1>
          <xm:sqref>Q24</xm:sqref>
        </x14:dataValidation>
        <x14:dataValidation type="list" allowBlank="1" showInputMessage="1" showErrorMessage="1" xr:uid="{00000000-0002-0000-0000-000003000000}">
          <x14:formula1>
            <xm:f>Beräkningar!$N$55:$O$55</xm:f>
          </x14:formula1>
          <xm:sqref>Q28</xm:sqref>
        </x14:dataValidation>
        <x14:dataValidation type="list" allowBlank="1" showInputMessage="1" showErrorMessage="1" xr:uid="{00000000-0002-0000-0000-000004000000}">
          <x14:formula1>
            <xm:f>Beräkningar!$N$58:$O$58</xm:f>
          </x14:formula1>
          <xm:sqref>W24</xm:sqref>
        </x14:dataValidation>
        <x14:dataValidation type="list" allowBlank="1" showInputMessage="1" showErrorMessage="1" xr:uid="{00000000-0002-0000-0000-000005000000}">
          <x14:formula1>
            <xm:f>Beräkningar!$N$61:$O$61</xm:f>
          </x14:formula1>
          <xm:sqref>W28</xm:sqref>
        </x14:dataValidation>
        <x14:dataValidation type="list" allowBlank="1" showInputMessage="1" showErrorMessage="1" xr:uid="{00000000-0002-0000-0000-000006000000}">
          <x14:formula1>
            <xm:f>Beräkningar!$R$52:$S$52</xm:f>
          </x14:formula1>
          <xm:sqref>R26</xm:sqref>
        </x14:dataValidation>
        <x14:dataValidation type="list" allowBlank="1" showInputMessage="1" showErrorMessage="1" xr:uid="{00000000-0002-0000-0000-000007000000}">
          <x14:formula1>
            <xm:f>Beräkningar!$R$55:$S$55</xm:f>
          </x14:formula1>
          <xm:sqref>V26</xm:sqref>
        </x14:dataValidation>
        <x14:dataValidation type="list" allowBlank="1" showInputMessage="1" showErrorMessage="1" xr:uid="{00000000-0002-0000-0000-000008000000}">
          <x14:formula1>
            <xm:f>Beräkningar!$U$52:$V$52</xm:f>
          </x14:formula1>
          <xm:sqref>S29</xm:sqref>
        </x14:dataValidation>
        <x14:dataValidation type="list" allowBlank="1" showInputMessage="1" showErrorMessage="1" xr:uid="{00000000-0002-0000-0000-000009000000}">
          <x14:formula1>
            <xm:f>Beräkningar!$N$70:$O$70</xm:f>
          </x14:formula1>
          <xm:sqref>Q33</xm:sqref>
        </x14:dataValidation>
        <x14:dataValidation type="list" allowBlank="1" showInputMessage="1" showErrorMessage="1" xr:uid="{00000000-0002-0000-0000-00000A000000}">
          <x14:formula1>
            <xm:f>Beräkningar!$N$73:$O$73</xm:f>
          </x14:formula1>
          <xm:sqref>Q37</xm:sqref>
        </x14:dataValidation>
        <x14:dataValidation type="list" allowBlank="1" showInputMessage="1" showErrorMessage="1" xr:uid="{00000000-0002-0000-0000-00000B000000}">
          <x14:formula1>
            <xm:f>Beräkningar!$N$76:$O$76</xm:f>
          </x14:formula1>
          <xm:sqref>W33</xm:sqref>
        </x14:dataValidation>
        <x14:dataValidation type="list" allowBlank="1" showInputMessage="1" showErrorMessage="1" xr:uid="{00000000-0002-0000-0000-00000C000000}">
          <x14:formula1>
            <xm:f>Beräkningar!$N$79:$O$79</xm:f>
          </x14:formula1>
          <xm:sqref>W37</xm:sqref>
        </x14:dataValidation>
        <x14:dataValidation type="list" allowBlank="1" showInputMessage="1" showErrorMessage="1" xr:uid="{00000000-0002-0000-0000-00000D000000}">
          <x14:formula1>
            <xm:f>Beräkningar!$R$70:$S$70</xm:f>
          </x14:formula1>
          <xm:sqref>R35</xm:sqref>
        </x14:dataValidation>
        <x14:dataValidation type="list" allowBlank="1" showInputMessage="1" showErrorMessage="1" xr:uid="{00000000-0002-0000-0000-00000E000000}">
          <x14:formula1>
            <xm:f>Beräkningar!$R$73:$S$73</xm:f>
          </x14:formula1>
          <xm:sqref>V35</xm:sqref>
        </x14:dataValidation>
        <x14:dataValidation type="list" allowBlank="1" showInputMessage="1" showErrorMessage="1" xr:uid="{00000000-0002-0000-0000-00000F000000}">
          <x14:formula1>
            <xm:f>Beräkningar!$U$70:$V$70</xm:f>
          </x14:formula1>
          <xm:sqref>U29</xm:sqref>
        </x14:dataValidation>
        <x14:dataValidation type="list" allowBlank="1" showInputMessage="1" showErrorMessage="1" xr:uid="{00000000-0002-0000-0000-000010000000}">
          <x14:formula1>
            <xm:f>Beräkningar!$X$52:$Y$52</xm:f>
          </x14:formula1>
          <xm:sqref>T28</xm:sqref>
        </x14:dataValidation>
        <x14:dataValidation type="list" allowBlank="1" showInputMessage="1" showErrorMessage="1" xr:uid="{00000000-0002-0000-0000-000011000000}">
          <x14:formula1>
            <xm:f>Beräkningar!$X$70:$Y$70</xm:f>
          </x14:formula1>
          <xm:sqref>T32</xm:sqref>
        </x14:dataValidation>
        <x14:dataValidation type="list" allowBlank="1" showInputMessage="1" showErrorMessage="1" xr:uid="{00000000-0002-0000-0000-000012000000}">
          <x14:formula1>
            <xm:f>Beräkningar!$D$83:$D$115</xm:f>
          </x14:formula1>
          <xm:sqref>P52 P59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O281"/>
  <sheetViews>
    <sheetView showGridLines="0" topLeftCell="B1" zoomScaleNormal="100" workbookViewId="0">
      <selection activeCell="F8" sqref="F8"/>
    </sheetView>
  </sheetViews>
  <sheetFormatPr defaultColWidth="0" defaultRowHeight="12.75" zeroHeight="1" outlineLevelCol="1" x14ac:dyDescent="0.2"/>
  <cols>
    <col min="1" max="1" width="24.5703125" hidden="1" customWidth="1" outlineLevel="1"/>
    <col min="2" max="2" width="4.42578125" customWidth="1" collapsed="1"/>
    <col min="3" max="3" width="25.7109375" customWidth="1"/>
    <col min="4" max="4" width="19.85546875" customWidth="1"/>
    <col min="5" max="5" width="5.28515625" customWidth="1"/>
    <col min="6" max="7" width="12.28515625" customWidth="1"/>
    <col min="8" max="8" width="5.28515625" customWidth="1"/>
    <col min="9" max="9" width="4.85546875" customWidth="1"/>
    <col min="10" max="10" width="7.5703125" customWidth="1"/>
    <col min="11" max="11" width="4.85546875" customWidth="1"/>
    <col min="12" max="12" width="11" customWidth="1"/>
    <col min="13" max="13" width="11" style="348" customWidth="1"/>
    <col min="14" max="14" width="11" customWidth="1"/>
    <col min="15" max="15" width="4.42578125" customWidth="1"/>
    <col min="16" max="16384" width="9.140625" hidden="1"/>
  </cols>
  <sheetData>
    <row r="1" spans="1:15" ht="11.25" customHeight="1" thickBot="1" x14ac:dyDescent="0.25">
      <c r="A1" s="292"/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4"/>
      <c r="N1" s="293"/>
      <c r="O1" s="295"/>
    </row>
    <row r="2" spans="1:15" ht="11.25" customHeight="1" x14ac:dyDescent="0.2">
      <c r="A2" s="292"/>
      <c r="B2" s="293"/>
      <c r="C2" s="296" t="s">
        <v>14</v>
      </c>
      <c r="D2" s="297"/>
      <c r="E2" s="297"/>
      <c r="F2" s="297"/>
      <c r="G2" s="297"/>
      <c r="H2" s="297"/>
      <c r="I2" s="297"/>
      <c r="J2" s="297"/>
      <c r="K2" s="297"/>
      <c r="L2" s="297" t="str">
        <f>Tippa!D3</f>
        <v>Alla kontroller i arket Tippa är OK</v>
      </c>
      <c r="M2" s="298"/>
      <c r="N2" s="297"/>
      <c r="O2" s="299"/>
    </row>
    <row r="3" spans="1:15" ht="11.25" customHeight="1" x14ac:dyDescent="0.2">
      <c r="A3" s="292"/>
      <c r="B3" s="293"/>
      <c r="C3" s="263" t="s">
        <v>252</v>
      </c>
      <c r="D3" s="265"/>
      <c r="E3" s="265"/>
      <c r="F3" s="266"/>
      <c r="G3" s="266"/>
      <c r="H3" s="265"/>
      <c r="I3" s="265"/>
      <c r="J3" s="265"/>
      <c r="K3" s="265"/>
      <c r="L3" s="265"/>
      <c r="M3" s="300"/>
      <c r="N3" s="265"/>
      <c r="O3" s="301"/>
    </row>
    <row r="4" spans="1:15" ht="11.25" customHeight="1" x14ac:dyDescent="0.2">
      <c r="A4" s="292" t="s">
        <v>13</v>
      </c>
      <c r="B4" s="293"/>
      <c r="C4" s="268" t="s">
        <v>290</v>
      </c>
      <c r="D4" s="270"/>
      <c r="E4" s="270"/>
      <c r="F4" s="281"/>
      <c r="G4" s="281"/>
      <c r="H4" s="270"/>
      <c r="I4" s="270"/>
      <c r="J4" s="270"/>
      <c r="K4" s="270"/>
      <c r="L4" s="270"/>
      <c r="M4" s="302"/>
      <c r="N4" s="270"/>
      <c r="O4" s="301"/>
    </row>
    <row r="5" spans="1:15" ht="11.25" customHeight="1" x14ac:dyDescent="0.2">
      <c r="A5" s="292" t="s">
        <v>173</v>
      </c>
      <c r="B5" s="293"/>
      <c r="C5" s="303"/>
      <c r="D5" s="304"/>
      <c r="E5" s="304"/>
      <c r="F5" s="304"/>
      <c r="G5" s="304"/>
      <c r="H5" s="304"/>
      <c r="I5" s="304"/>
      <c r="J5" s="304"/>
      <c r="K5" s="301"/>
      <c r="L5" s="301"/>
      <c r="M5" s="305"/>
      <c r="N5" s="301"/>
      <c r="O5" s="301"/>
    </row>
    <row r="6" spans="1:15" ht="11.25" customHeight="1" x14ac:dyDescent="0.2">
      <c r="A6" s="292" t="s">
        <v>204</v>
      </c>
      <c r="B6" s="293"/>
      <c r="C6" s="306" t="s">
        <v>289</v>
      </c>
      <c r="D6" s="306"/>
      <c r="E6" s="306"/>
      <c r="F6" s="306"/>
      <c r="G6" s="306"/>
      <c r="H6" s="306"/>
      <c r="I6" s="306"/>
      <c r="J6" s="306"/>
      <c r="K6" s="301"/>
      <c r="L6" s="306" t="s">
        <v>271</v>
      </c>
      <c r="M6" s="307" t="str">
        <f>Tippa!C3</f>
        <v>Mitt Namn: Jonathan Behr Mattsson</v>
      </c>
      <c r="N6" s="306"/>
      <c r="O6" s="301"/>
    </row>
    <row r="7" spans="1:15" ht="11.25" customHeight="1" x14ac:dyDescent="0.2">
      <c r="A7" s="292" t="s">
        <v>27</v>
      </c>
      <c r="B7" s="293"/>
      <c r="C7" s="308" t="s">
        <v>0</v>
      </c>
      <c r="D7" s="309" t="s">
        <v>1</v>
      </c>
      <c r="E7" s="226" t="s">
        <v>2</v>
      </c>
      <c r="F7" s="372" t="s">
        <v>3</v>
      </c>
      <c r="G7" s="373"/>
      <c r="H7" s="228" t="s">
        <v>2</v>
      </c>
      <c r="J7" s="310" t="s">
        <v>265</v>
      </c>
      <c r="K7" s="301"/>
      <c r="L7" s="229" t="s">
        <v>1</v>
      </c>
      <c r="M7" s="360" t="s">
        <v>341</v>
      </c>
      <c r="N7" s="361"/>
      <c r="O7" s="301"/>
    </row>
    <row r="8" spans="1:15" ht="11.25" customHeight="1" x14ac:dyDescent="0.2">
      <c r="A8" s="292" t="s">
        <v>172</v>
      </c>
      <c r="B8" s="293"/>
      <c r="C8" s="311" t="str">
        <f>Tippa!C23</f>
        <v>Qatar - Ecuador</v>
      </c>
      <c r="D8" s="312" t="str">
        <f t="shared" ref="D8" si="0">IF(F8="*","*",IF(F8&gt;G8,1,IF(F8=G8,"X",IF(F8&lt;G8,2,"error"))))</f>
        <v>*</v>
      </c>
      <c r="E8" s="313">
        <f>(L8=D8)*$A$73</f>
        <v>0</v>
      </c>
      <c r="F8" s="90" t="s">
        <v>15</v>
      </c>
      <c r="G8" s="90" t="s">
        <v>15</v>
      </c>
      <c r="H8" s="313">
        <f>(F8=M8)*(G8=N8)*$A$77</f>
        <v>0</v>
      </c>
      <c r="J8" s="313">
        <f>+IF(SUM(H8:H13)=$A$77*6,$A$78,0)</f>
        <v>0</v>
      </c>
      <c r="L8" s="314" t="str">
        <f>Tippa!F23</f>
        <v>X</v>
      </c>
      <c r="M8" s="315">
        <f>Tippa!G23</f>
        <v>1</v>
      </c>
      <c r="N8" s="316">
        <f>Tippa!H23</f>
        <v>1</v>
      </c>
      <c r="O8" s="301"/>
    </row>
    <row r="9" spans="1:15" ht="11.25" customHeight="1" x14ac:dyDescent="0.2">
      <c r="A9" s="292" t="s">
        <v>176</v>
      </c>
      <c r="B9" s="293"/>
      <c r="C9" s="317" t="str">
        <f>Tippa!C24</f>
        <v>Senegal - Nederländerna</v>
      </c>
      <c r="D9" s="312" t="str">
        <f t="shared" ref="D9:D13" si="1">IF(F9="*","*",IF(F9&gt;G9,1,IF(F9=G9,"X",IF(F9&lt;G9,2,"error"))))</f>
        <v>*</v>
      </c>
      <c r="E9" s="313">
        <f t="shared" ref="E9:E13" si="2">(L9=D9)*$A$73</f>
        <v>0</v>
      </c>
      <c r="F9" s="90" t="s">
        <v>15</v>
      </c>
      <c r="G9" s="90" t="s">
        <v>15</v>
      </c>
      <c r="H9" s="313">
        <f t="shared" ref="H9:H13" si="3">(F9=M9)*(G9=N9)*$A$77</f>
        <v>0</v>
      </c>
      <c r="I9" s="301"/>
      <c r="J9" s="313">
        <f>IF(SUM(E8:E13)=$A$73*6,$A$74,0)</f>
        <v>0</v>
      </c>
      <c r="L9" s="318">
        <f>Tippa!F24</f>
        <v>2</v>
      </c>
      <c r="M9" s="319">
        <f>Tippa!G24</f>
        <v>0</v>
      </c>
      <c r="N9" s="320">
        <f>Tippa!H24</f>
        <v>2</v>
      </c>
      <c r="O9" s="301"/>
    </row>
    <row r="10" spans="1:15" ht="11.25" customHeight="1" x14ac:dyDescent="0.2">
      <c r="A10" s="292" t="s">
        <v>254</v>
      </c>
      <c r="B10" s="293"/>
      <c r="C10" s="317" t="str">
        <f>Tippa!C25</f>
        <v>Qatar - Senegal</v>
      </c>
      <c r="D10" s="312" t="str">
        <f t="shared" si="1"/>
        <v>*</v>
      </c>
      <c r="E10" s="313">
        <f t="shared" si="2"/>
        <v>0</v>
      </c>
      <c r="F10" s="90" t="s">
        <v>15</v>
      </c>
      <c r="G10" s="90" t="s">
        <v>15</v>
      </c>
      <c r="H10" s="313">
        <f t="shared" si="3"/>
        <v>0</v>
      </c>
      <c r="I10" s="301"/>
      <c r="J10" s="301"/>
      <c r="K10" s="301"/>
      <c r="L10" s="318">
        <f>Tippa!F25</f>
        <v>2</v>
      </c>
      <c r="M10" s="319">
        <f>Tippa!G25</f>
        <v>0</v>
      </c>
      <c r="N10" s="320">
        <f>Tippa!H25</f>
        <v>2</v>
      </c>
      <c r="O10" s="301"/>
    </row>
    <row r="11" spans="1:15" ht="11.25" customHeight="1" x14ac:dyDescent="0.2">
      <c r="A11" s="292" t="s">
        <v>205</v>
      </c>
      <c r="B11" s="293"/>
      <c r="C11" s="317" t="str">
        <f>Tippa!C26</f>
        <v>Nederländerna - Ecuador</v>
      </c>
      <c r="D11" s="312" t="str">
        <f t="shared" si="1"/>
        <v>*</v>
      </c>
      <c r="E11" s="313">
        <f t="shared" si="2"/>
        <v>0</v>
      </c>
      <c r="F11" s="90" t="s">
        <v>15</v>
      </c>
      <c r="G11" s="90" t="s">
        <v>15</v>
      </c>
      <c r="H11" s="313">
        <f t="shared" si="3"/>
        <v>0</v>
      </c>
      <c r="I11" s="301"/>
      <c r="J11" s="301"/>
      <c r="K11" s="301"/>
      <c r="L11" s="318">
        <f>Tippa!F26</f>
        <v>1</v>
      </c>
      <c r="M11" s="319">
        <f>Tippa!G26</f>
        <v>1</v>
      </c>
      <c r="N11" s="320">
        <f>Tippa!H26</f>
        <v>0</v>
      </c>
      <c r="O11" s="301"/>
    </row>
    <row r="12" spans="1:15" ht="11.25" customHeight="1" x14ac:dyDescent="0.2">
      <c r="A12" s="292" t="s">
        <v>200</v>
      </c>
      <c r="B12" s="293"/>
      <c r="C12" s="317" t="str">
        <f>Tippa!C27</f>
        <v>Ecuador - Senegal</v>
      </c>
      <c r="D12" s="312" t="str">
        <f t="shared" si="1"/>
        <v>*</v>
      </c>
      <c r="E12" s="313">
        <f t="shared" si="2"/>
        <v>0</v>
      </c>
      <c r="F12" s="90" t="s">
        <v>15</v>
      </c>
      <c r="G12" s="90" t="s">
        <v>15</v>
      </c>
      <c r="H12" s="313">
        <f t="shared" si="3"/>
        <v>0</v>
      </c>
      <c r="I12" s="301"/>
      <c r="J12" s="301"/>
      <c r="K12" s="301"/>
      <c r="L12" s="318">
        <f>Tippa!F27</f>
        <v>2</v>
      </c>
      <c r="M12" s="319">
        <f>Tippa!G27</f>
        <v>0</v>
      </c>
      <c r="N12" s="320">
        <f>Tippa!H27</f>
        <v>1</v>
      </c>
      <c r="O12" s="301"/>
    </row>
    <row r="13" spans="1:15" ht="11.25" customHeight="1" x14ac:dyDescent="0.2">
      <c r="A13" s="292" t="s">
        <v>22</v>
      </c>
      <c r="B13" s="293"/>
      <c r="C13" s="321" t="str">
        <f>Tippa!C28</f>
        <v>Nederländerna - Qatar</v>
      </c>
      <c r="D13" s="312" t="str">
        <f t="shared" si="1"/>
        <v>*</v>
      </c>
      <c r="E13" s="313">
        <f t="shared" si="2"/>
        <v>0</v>
      </c>
      <c r="F13" s="90" t="s">
        <v>15</v>
      </c>
      <c r="G13" s="90" t="s">
        <v>15</v>
      </c>
      <c r="H13" s="313">
        <f t="shared" si="3"/>
        <v>0</v>
      </c>
      <c r="I13" s="301"/>
      <c r="J13" s="301"/>
      <c r="K13" s="301"/>
      <c r="L13" s="322">
        <f>Tippa!F28</f>
        <v>1</v>
      </c>
      <c r="M13" s="323">
        <f>Tippa!G28</f>
        <v>3</v>
      </c>
      <c r="N13" s="324">
        <f>Tippa!H28</f>
        <v>0</v>
      </c>
      <c r="O13" s="301"/>
    </row>
    <row r="14" spans="1:15" ht="11.25" customHeight="1" x14ac:dyDescent="0.2">
      <c r="A14" s="292" t="s">
        <v>24</v>
      </c>
      <c r="B14" s="293"/>
      <c r="C14" s="325"/>
      <c r="D14" s="304"/>
      <c r="E14" s="304"/>
      <c r="F14" s="326"/>
      <c r="G14" s="326"/>
      <c r="H14" s="301"/>
      <c r="I14" s="301"/>
      <c r="J14" s="301"/>
      <c r="K14" s="327"/>
      <c r="L14" s="301"/>
      <c r="M14" s="305"/>
      <c r="N14" s="301"/>
      <c r="O14" s="301"/>
    </row>
    <row r="15" spans="1:15" ht="11.25" customHeight="1" x14ac:dyDescent="0.2">
      <c r="A15" s="292" t="s">
        <v>202</v>
      </c>
      <c r="B15" s="293"/>
      <c r="C15" s="308" t="s">
        <v>6</v>
      </c>
      <c r="D15" s="309" t="s">
        <v>1</v>
      </c>
      <c r="E15" s="226" t="s">
        <v>2</v>
      </c>
      <c r="F15" s="372" t="s">
        <v>3</v>
      </c>
      <c r="G15" s="373"/>
      <c r="H15" s="228" t="s">
        <v>2</v>
      </c>
      <c r="I15" s="301"/>
      <c r="J15" s="310" t="s">
        <v>265</v>
      </c>
      <c r="K15" s="301"/>
      <c r="L15" s="229" t="s">
        <v>1</v>
      </c>
      <c r="M15" s="360" t="s">
        <v>341</v>
      </c>
      <c r="N15" s="361"/>
      <c r="O15" s="301"/>
    </row>
    <row r="16" spans="1:15" ht="11.25" customHeight="1" x14ac:dyDescent="0.2">
      <c r="A16" s="292" t="s">
        <v>42</v>
      </c>
      <c r="B16" s="293"/>
      <c r="C16" s="317" t="str">
        <f>Tippa!C34</f>
        <v>USA - Wales</v>
      </c>
      <c r="D16" s="328" t="str">
        <f t="shared" ref="D16:D21" si="4">IF(F16="*","*",IF(F16&gt;G16,1,IF(F16=G16,"X",IF(F16&lt;G16,2,"error"))))</f>
        <v>*</v>
      </c>
      <c r="E16" s="313">
        <f>(L16=D16)*$A$73</f>
        <v>0</v>
      </c>
      <c r="F16" s="90" t="s">
        <v>15</v>
      </c>
      <c r="G16" s="90" t="s">
        <v>15</v>
      </c>
      <c r="H16" s="313">
        <f>(F16=M16)*(G16=N16)*$A$77</f>
        <v>0</v>
      </c>
      <c r="I16" s="301"/>
      <c r="J16" s="313">
        <f>+IF(SUM(H16:H21)=$A$77*6,$A$78,0)</f>
        <v>0</v>
      </c>
      <c r="L16" s="314" t="str">
        <f>Tippa!F34</f>
        <v>X</v>
      </c>
      <c r="M16" s="315">
        <f>Tippa!G34</f>
        <v>1</v>
      </c>
      <c r="N16" s="316">
        <f>Tippa!H34</f>
        <v>1</v>
      </c>
      <c r="O16" s="301"/>
    </row>
    <row r="17" spans="1:15" ht="11.25" customHeight="1" x14ac:dyDescent="0.2">
      <c r="A17" s="292" t="s">
        <v>175</v>
      </c>
      <c r="B17" s="293"/>
      <c r="C17" s="317" t="str">
        <f>Tippa!C35</f>
        <v>England - Iran</v>
      </c>
      <c r="D17" s="312" t="str">
        <f t="shared" si="4"/>
        <v>*</v>
      </c>
      <c r="E17" s="313">
        <f t="shared" ref="E17:E21" si="5">(L17=D17)*$A$73</f>
        <v>0</v>
      </c>
      <c r="F17" s="90" t="s">
        <v>15</v>
      </c>
      <c r="G17" s="90" t="s">
        <v>15</v>
      </c>
      <c r="H17" s="313">
        <f t="shared" ref="H17:H21" si="6">(F17=M17)*(G17=N17)*$A$77</f>
        <v>0</v>
      </c>
      <c r="I17" s="301"/>
      <c r="J17" s="313">
        <f>IF(SUM(E16:E21)=$A$73*6,$A$74,0)</f>
        <v>0</v>
      </c>
      <c r="L17" s="318">
        <f>Tippa!F35</f>
        <v>1</v>
      </c>
      <c r="M17" s="319">
        <f>Tippa!G35</f>
        <v>4</v>
      </c>
      <c r="N17" s="320">
        <f>Tippa!H35</f>
        <v>0</v>
      </c>
      <c r="O17" s="301"/>
    </row>
    <row r="18" spans="1:15" ht="11.25" customHeight="1" x14ac:dyDescent="0.2">
      <c r="A18" s="292" t="s">
        <v>20</v>
      </c>
      <c r="B18" s="293"/>
      <c r="C18" s="317" t="str">
        <f>Tippa!C36</f>
        <v>England - USA</v>
      </c>
      <c r="D18" s="312" t="str">
        <f t="shared" si="4"/>
        <v>*</v>
      </c>
      <c r="E18" s="313">
        <f t="shared" si="5"/>
        <v>0</v>
      </c>
      <c r="F18" s="90" t="s">
        <v>15</v>
      </c>
      <c r="G18" s="90" t="s">
        <v>15</v>
      </c>
      <c r="H18" s="313">
        <f t="shared" si="6"/>
        <v>0</v>
      </c>
      <c r="I18" s="301"/>
      <c r="K18" s="301"/>
      <c r="L18" s="318" t="str">
        <f>Tippa!F36</f>
        <v>X</v>
      </c>
      <c r="M18" s="319">
        <f>Tippa!G36</f>
        <v>2</v>
      </c>
      <c r="N18" s="320">
        <f>Tippa!H36</f>
        <v>2</v>
      </c>
      <c r="O18" s="301"/>
    </row>
    <row r="19" spans="1:15" ht="11.25" customHeight="1" x14ac:dyDescent="0.2">
      <c r="A19" s="292" t="s">
        <v>203</v>
      </c>
      <c r="B19" s="293"/>
      <c r="C19" s="317" t="str">
        <f>Tippa!C37</f>
        <v>Wales - Iran</v>
      </c>
      <c r="D19" s="312" t="str">
        <f t="shared" si="4"/>
        <v>*</v>
      </c>
      <c r="E19" s="313">
        <f t="shared" si="5"/>
        <v>0</v>
      </c>
      <c r="F19" s="90" t="s">
        <v>15</v>
      </c>
      <c r="G19" s="90" t="s">
        <v>15</v>
      </c>
      <c r="H19" s="313">
        <f t="shared" si="6"/>
        <v>0</v>
      </c>
      <c r="I19" s="301"/>
      <c r="J19" s="301"/>
      <c r="K19" s="301"/>
      <c r="L19" s="318">
        <f>Tippa!F37</f>
        <v>1</v>
      </c>
      <c r="M19" s="319">
        <f>Tippa!G37</f>
        <v>2</v>
      </c>
      <c r="N19" s="320">
        <f>Tippa!H37</f>
        <v>0</v>
      </c>
      <c r="O19" s="301"/>
    </row>
    <row r="20" spans="1:15" ht="11.25" customHeight="1" x14ac:dyDescent="0.2">
      <c r="A20" s="292" t="s">
        <v>208</v>
      </c>
      <c r="B20" s="293"/>
      <c r="C20" s="317" t="str">
        <f>Tippa!C38</f>
        <v>Iran - USA</v>
      </c>
      <c r="D20" s="312" t="str">
        <f t="shared" si="4"/>
        <v>*</v>
      </c>
      <c r="E20" s="313">
        <f t="shared" si="5"/>
        <v>0</v>
      </c>
      <c r="F20" s="90" t="s">
        <v>15</v>
      </c>
      <c r="G20" s="90" t="s">
        <v>15</v>
      </c>
      <c r="H20" s="313">
        <f t="shared" si="6"/>
        <v>0</v>
      </c>
      <c r="I20" s="301"/>
      <c r="J20" s="301"/>
      <c r="K20" s="301"/>
      <c r="L20" s="318">
        <f>Tippa!F38</f>
        <v>2</v>
      </c>
      <c r="M20" s="319">
        <f>Tippa!G38</f>
        <v>1</v>
      </c>
      <c r="N20" s="320">
        <f>Tippa!H38</f>
        <v>3</v>
      </c>
      <c r="O20" s="301"/>
    </row>
    <row r="21" spans="1:15" ht="11.25" customHeight="1" x14ac:dyDescent="0.2">
      <c r="A21" s="292" t="s">
        <v>174</v>
      </c>
      <c r="B21" s="293"/>
      <c r="C21" s="321" t="str">
        <f>Tippa!C39</f>
        <v>Wales - England</v>
      </c>
      <c r="D21" s="312" t="str">
        <f t="shared" si="4"/>
        <v>*</v>
      </c>
      <c r="E21" s="313">
        <f t="shared" si="5"/>
        <v>0</v>
      </c>
      <c r="F21" s="90" t="s">
        <v>15</v>
      </c>
      <c r="G21" s="90" t="s">
        <v>15</v>
      </c>
      <c r="H21" s="313">
        <f t="shared" si="6"/>
        <v>0</v>
      </c>
      <c r="I21" s="301"/>
      <c r="J21" s="301"/>
      <c r="K21" s="301"/>
      <c r="L21" s="322" t="str">
        <f>Tippa!F39</f>
        <v>X</v>
      </c>
      <c r="M21" s="323">
        <f>Tippa!G39</f>
        <v>1</v>
      </c>
      <c r="N21" s="324">
        <f>Tippa!H39</f>
        <v>1</v>
      </c>
      <c r="O21" s="301"/>
    </row>
    <row r="22" spans="1:15" ht="11.25" customHeight="1" x14ac:dyDescent="0.2">
      <c r="A22" s="292" t="s">
        <v>210</v>
      </c>
      <c r="B22" s="293"/>
      <c r="C22" s="303"/>
      <c r="D22" s="304"/>
      <c r="E22" s="304"/>
      <c r="F22" s="326"/>
      <c r="G22" s="326"/>
      <c r="H22" s="301"/>
      <c r="I22" s="301"/>
      <c r="J22" s="301"/>
      <c r="K22" s="327"/>
      <c r="L22" s="301"/>
      <c r="M22" s="305"/>
      <c r="N22" s="301"/>
      <c r="O22" s="301"/>
    </row>
    <row r="23" spans="1:15" ht="11.25" customHeight="1" x14ac:dyDescent="0.2">
      <c r="A23" s="292" t="s">
        <v>206</v>
      </c>
      <c r="B23" s="293"/>
      <c r="C23" s="308" t="s">
        <v>8</v>
      </c>
      <c r="D23" s="309" t="s">
        <v>1</v>
      </c>
      <c r="E23" s="226" t="s">
        <v>2</v>
      </c>
      <c r="F23" s="372" t="s">
        <v>3</v>
      </c>
      <c r="G23" s="373"/>
      <c r="H23" s="228" t="s">
        <v>2</v>
      </c>
      <c r="I23" s="301"/>
      <c r="J23" s="310" t="s">
        <v>265</v>
      </c>
      <c r="K23" s="301"/>
      <c r="L23" s="229" t="s">
        <v>1</v>
      </c>
      <c r="M23" s="360" t="s">
        <v>341</v>
      </c>
      <c r="N23" s="361"/>
      <c r="O23" s="301"/>
    </row>
    <row r="24" spans="1:15" ht="11.25" customHeight="1" x14ac:dyDescent="0.2">
      <c r="A24" s="292" t="s">
        <v>40</v>
      </c>
      <c r="B24" s="293"/>
      <c r="C24" s="311" t="str">
        <f>Tippa!C45</f>
        <v>Argentina - Saudiarabien</v>
      </c>
      <c r="D24" s="312" t="str">
        <f t="shared" ref="D24:D29" si="7">IF(F24="*","*",IF(F24&gt;G24,1,IF(F24=G24,"X",IF(F24&lt;G24,2,"error"))))</f>
        <v>*</v>
      </c>
      <c r="E24" s="313">
        <f>(L24=D24)*$A$73</f>
        <v>0</v>
      </c>
      <c r="F24" s="90" t="s">
        <v>15</v>
      </c>
      <c r="G24" s="90" t="s">
        <v>15</v>
      </c>
      <c r="H24" s="313">
        <f>(F24=M24)*(G24=N24)*$A$77</f>
        <v>0</v>
      </c>
      <c r="I24" s="301"/>
      <c r="J24" s="313">
        <f>+IF(SUM(H24:H29)=$A$77*6,$A$78,0)</f>
        <v>0</v>
      </c>
      <c r="L24" s="314">
        <f>Tippa!F45</f>
        <v>1</v>
      </c>
      <c r="M24" s="315">
        <f>Tippa!G45</f>
        <v>4</v>
      </c>
      <c r="N24" s="316">
        <f>Tippa!H45</f>
        <v>0</v>
      </c>
      <c r="O24" s="301"/>
    </row>
    <row r="25" spans="1:15" ht="11.25" customHeight="1" x14ac:dyDescent="0.2">
      <c r="A25" s="292" t="s">
        <v>26</v>
      </c>
      <c r="B25" s="293"/>
      <c r="C25" s="317" t="str">
        <f>Tippa!C46</f>
        <v>Mexiko - Polen</v>
      </c>
      <c r="D25" s="312" t="str">
        <f t="shared" si="7"/>
        <v>*</v>
      </c>
      <c r="E25" s="313">
        <f t="shared" ref="E25:E29" si="8">(L25=D25)*$A$73</f>
        <v>0</v>
      </c>
      <c r="F25" s="90" t="s">
        <v>15</v>
      </c>
      <c r="G25" s="90" t="s">
        <v>15</v>
      </c>
      <c r="H25" s="313">
        <f t="shared" ref="H25:H29" si="9">(F25=M25)*(G25=N25)*$A$77</f>
        <v>0</v>
      </c>
      <c r="I25" s="301"/>
      <c r="J25" s="313">
        <f>IF(SUM(E24:E29)=$A$73*6,$A$74,0)</f>
        <v>0</v>
      </c>
      <c r="L25" s="318">
        <f>Tippa!F46</f>
        <v>1</v>
      </c>
      <c r="M25" s="319">
        <f>Tippa!G46</f>
        <v>2</v>
      </c>
      <c r="N25" s="320">
        <f>Tippa!H46</f>
        <v>1</v>
      </c>
      <c r="O25" s="301"/>
    </row>
    <row r="26" spans="1:15" ht="11.25" customHeight="1" x14ac:dyDescent="0.2">
      <c r="A26" s="292" t="s">
        <v>28</v>
      </c>
      <c r="B26" s="293"/>
      <c r="C26" s="317" t="str">
        <f>Tippa!C47</f>
        <v>Polen - Saudiarabien</v>
      </c>
      <c r="D26" s="312" t="str">
        <f t="shared" si="7"/>
        <v>*</v>
      </c>
      <c r="E26" s="313">
        <f t="shared" si="8"/>
        <v>0</v>
      </c>
      <c r="F26" s="90" t="s">
        <v>15</v>
      </c>
      <c r="G26" s="90" t="s">
        <v>15</v>
      </c>
      <c r="H26" s="313">
        <f t="shared" si="9"/>
        <v>0</v>
      </c>
      <c r="I26" s="301"/>
      <c r="K26" s="301"/>
      <c r="L26" s="318">
        <f>Tippa!F47</f>
        <v>1</v>
      </c>
      <c r="M26" s="319">
        <f>Tippa!G47</f>
        <v>1</v>
      </c>
      <c r="N26" s="320">
        <f>Tippa!H47</f>
        <v>0</v>
      </c>
      <c r="O26" s="301"/>
    </row>
    <row r="27" spans="1:15" ht="11.25" customHeight="1" x14ac:dyDescent="0.2">
      <c r="A27" s="292" t="s">
        <v>199</v>
      </c>
      <c r="B27" s="293"/>
      <c r="C27" s="317" t="str">
        <f>Tippa!C48</f>
        <v>Argentina - Mexiko</v>
      </c>
      <c r="D27" s="312" t="str">
        <f t="shared" si="7"/>
        <v>*</v>
      </c>
      <c r="E27" s="313">
        <f t="shared" si="8"/>
        <v>0</v>
      </c>
      <c r="F27" s="90" t="s">
        <v>15</v>
      </c>
      <c r="G27" s="90" t="s">
        <v>15</v>
      </c>
      <c r="H27" s="313">
        <f t="shared" si="9"/>
        <v>0</v>
      </c>
      <c r="I27" s="301"/>
      <c r="J27" s="301"/>
      <c r="K27" s="301"/>
      <c r="L27" s="318" t="str">
        <f>Tippa!F48</f>
        <v>X</v>
      </c>
      <c r="M27" s="319">
        <f>Tippa!G48</f>
        <v>2</v>
      </c>
      <c r="N27" s="320">
        <f>Tippa!H48</f>
        <v>2</v>
      </c>
      <c r="O27" s="301"/>
    </row>
    <row r="28" spans="1:15" ht="11.25" customHeight="1" x14ac:dyDescent="0.2">
      <c r="A28" s="292" t="s">
        <v>23</v>
      </c>
      <c r="B28" s="293"/>
      <c r="C28" s="317" t="str">
        <f>Tippa!C49</f>
        <v>Saudiarabien - Mexiko</v>
      </c>
      <c r="D28" s="312" t="str">
        <f t="shared" si="7"/>
        <v>*</v>
      </c>
      <c r="E28" s="313">
        <f t="shared" si="8"/>
        <v>0</v>
      </c>
      <c r="F28" s="90" t="s">
        <v>15</v>
      </c>
      <c r="G28" s="90" t="s">
        <v>15</v>
      </c>
      <c r="H28" s="313">
        <f t="shared" si="9"/>
        <v>0</v>
      </c>
      <c r="I28" s="301"/>
      <c r="J28" s="301"/>
      <c r="K28" s="301"/>
      <c r="L28" s="318">
        <f>Tippa!F49</f>
        <v>2</v>
      </c>
      <c r="M28" s="319">
        <f>Tippa!G49</f>
        <v>0</v>
      </c>
      <c r="N28" s="320">
        <f>Tippa!H49</f>
        <v>2</v>
      </c>
      <c r="O28" s="301"/>
    </row>
    <row r="29" spans="1:15" ht="11.25" customHeight="1" x14ac:dyDescent="0.2">
      <c r="A29" s="292" t="s">
        <v>212</v>
      </c>
      <c r="B29" s="293"/>
      <c r="C29" s="321" t="str">
        <f>Tippa!C50</f>
        <v>Polen - Argentina</v>
      </c>
      <c r="D29" s="312" t="str">
        <f t="shared" si="7"/>
        <v>*</v>
      </c>
      <c r="E29" s="313">
        <f t="shared" si="8"/>
        <v>0</v>
      </c>
      <c r="F29" s="90" t="s">
        <v>15</v>
      </c>
      <c r="G29" s="90" t="s">
        <v>15</v>
      </c>
      <c r="H29" s="313">
        <f t="shared" si="9"/>
        <v>0</v>
      </c>
      <c r="I29" s="301"/>
      <c r="J29" s="301"/>
      <c r="K29" s="301"/>
      <c r="L29" s="322">
        <f>Tippa!F50</f>
        <v>2</v>
      </c>
      <c r="M29" s="323">
        <f>Tippa!G50</f>
        <v>1</v>
      </c>
      <c r="N29" s="324">
        <f>Tippa!H50</f>
        <v>2</v>
      </c>
      <c r="O29" s="301"/>
    </row>
    <row r="30" spans="1:15" ht="11.25" customHeight="1" x14ac:dyDescent="0.2">
      <c r="A30" s="292" t="s">
        <v>207</v>
      </c>
      <c r="B30" s="293"/>
      <c r="C30" s="303"/>
      <c r="D30" s="304"/>
      <c r="E30" s="304"/>
      <c r="F30" s="326"/>
      <c r="G30" s="326"/>
      <c r="H30" s="301"/>
      <c r="I30" s="301"/>
      <c r="J30" s="301"/>
      <c r="K30" s="327"/>
      <c r="L30" s="301"/>
      <c r="M30" s="305"/>
      <c r="N30" s="301"/>
      <c r="O30" s="301"/>
    </row>
    <row r="31" spans="1:15" ht="11.25" customHeight="1" x14ac:dyDescent="0.2">
      <c r="A31" s="292" t="s">
        <v>21</v>
      </c>
      <c r="B31" s="293"/>
      <c r="C31" s="308" t="s">
        <v>9</v>
      </c>
      <c r="D31" s="309" t="s">
        <v>1</v>
      </c>
      <c r="E31" s="226" t="s">
        <v>2</v>
      </c>
      <c r="F31" s="372" t="s">
        <v>3</v>
      </c>
      <c r="G31" s="373"/>
      <c r="H31" s="228" t="s">
        <v>2</v>
      </c>
      <c r="I31" s="301"/>
      <c r="J31" s="310" t="s">
        <v>265</v>
      </c>
      <c r="K31" s="301"/>
      <c r="L31" s="229" t="s">
        <v>1</v>
      </c>
      <c r="M31" s="360" t="s">
        <v>341</v>
      </c>
      <c r="N31" s="361"/>
      <c r="O31" s="301"/>
    </row>
    <row r="32" spans="1:15" ht="11.25" customHeight="1" x14ac:dyDescent="0.2">
      <c r="A32" t="s">
        <v>41</v>
      </c>
      <c r="B32" s="293"/>
      <c r="C32" s="311" t="str">
        <f>Tippa!C56</f>
        <v>Frankrike - Australien</v>
      </c>
      <c r="D32" s="312" t="str">
        <f t="shared" ref="D32:D37" si="10">IF(F32="*","*",IF(F32&gt;G32,1,IF(F32=G32,"X",IF(F32&lt;G32,2,"error"))))</f>
        <v>*</v>
      </c>
      <c r="E32" s="313">
        <f>(L32=D32)*$A$73</f>
        <v>0</v>
      </c>
      <c r="F32" s="90" t="s">
        <v>15</v>
      </c>
      <c r="G32" s="90" t="s">
        <v>15</v>
      </c>
      <c r="H32" s="313">
        <f>(F32=M32)*(G32=N32)*$A$77</f>
        <v>0</v>
      </c>
      <c r="I32" s="301"/>
      <c r="J32" s="313">
        <f>+IF(SUM(H32:H37)=$A$77*6,$A$78,0)</f>
        <v>0</v>
      </c>
      <c r="L32" s="314">
        <f>Tippa!F56</f>
        <v>1</v>
      </c>
      <c r="M32" s="315">
        <f>Tippa!G56</f>
        <v>4</v>
      </c>
      <c r="N32" s="316">
        <f>Tippa!H56</f>
        <v>0</v>
      </c>
      <c r="O32" s="301"/>
    </row>
    <row r="33" spans="1:15" ht="11.25" customHeight="1" x14ac:dyDescent="0.2">
      <c r="A33" t="s">
        <v>209</v>
      </c>
      <c r="B33" s="293"/>
      <c r="C33" s="317" t="str">
        <f>Tippa!C57</f>
        <v>Danmark - Tunisien</v>
      </c>
      <c r="D33" s="312" t="str">
        <f t="shared" si="10"/>
        <v>*</v>
      </c>
      <c r="E33" s="313">
        <f t="shared" ref="E33:E37" si="11">(L33=D33)*$A$73</f>
        <v>0</v>
      </c>
      <c r="F33" s="90" t="s">
        <v>15</v>
      </c>
      <c r="G33" s="90" t="s">
        <v>15</v>
      </c>
      <c r="H33" s="313">
        <f t="shared" ref="H33:H37" si="12">(F33=M33)*(G33=N33)*$A$77</f>
        <v>0</v>
      </c>
      <c r="I33" s="301"/>
      <c r="J33" s="313">
        <f>IF(SUM(E32:E37)=$A$73*6,$A$74,0)</f>
        <v>0</v>
      </c>
      <c r="L33" s="318">
        <f>Tippa!F57</f>
        <v>1</v>
      </c>
      <c r="M33" s="319">
        <f>Tippa!G57</f>
        <v>2</v>
      </c>
      <c r="N33" s="320">
        <f>Tippa!H57</f>
        <v>1</v>
      </c>
      <c r="O33" s="301"/>
    </row>
    <row r="34" spans="1:15" ht="11.25" customHeight="1" x14ac:dyDescent="0.2">
      <c r="A34" t="s">
        <v>211</v>
      </c>
      <c r="B34" s="293"/>
      <c r="C34" s="317" t="str">
        <f>Tippa!C58</f>
        <v>Frankrike - Danmark</v>
      </c>
      <c r="D34" s="312" t="str">
        <f t="shared" si="10"/>
        <v>*</v>
      </c>
      <c r="E34" s="313">
        <f t="shared" si="11"/>
        <v>0</v>
      </c>
      <c r="F34" s="90" t="s">
        <v>15</v>
      </c>
      <c r="G34" s="90" t="s">
        <v>15</v>
      </c>
      <c r="H34" s="313">
        <f t="shared" si="12"/>
        <v>0</v>
      </c>
      <c r="I34" s="301"/>
      <c r="K34" s="301"/>
      <c r="L34" s="318">
        <f>Tippa!F58</f>
        <v>1</v>
      </c>
      <c r="M34" s="319">
        <f>Tippa!G58</f>
        <v>1</v>
      </c>
      <c r="N34" s="320">
        <f>Tippa!H58</f>
        <v>0</v>
      </c>
      <c r="O34" s="301"/>
    </row>
    <row r="35" spans="1:15" ht="11.25" customHeight="1" x14ac:dyDescent="0.2">
      <c r="A35" t="s">
        <v>25</v>
      </c>
      <c r="B35" s="293"/>
      <c r="C35" s="317" t="str">
        <f>Tippa!C59</f>
        <v>Tunisien - Australien</v>
      </c>
      <c r="D35" s="312" t="str">
        <f t="shared" si="10"/>
        <v>*</v>
      </c>
      <c r="E35" s="313">
        <f t="shared" si="11"/>
        <v>0</v>
      </c>
      <c r="F35" s="90" t="s">
        <v>15</v>
      </c>
      <c r="G35" s="90" t="s">
        <v>15</v>
      </c>
      <c r="H35" s="313">
        <f t="shared" si="12"/>
        <v>0</v>
      </c>
      <c r="I35" s="301"/>
      <c r="J35" s="301"/>
      <c r="K35" s="301"/>
      <c r="L35" s="318" t="str">
        <f>Tippa!F59</f>
        <v>X</v>
      </c>
      <c r="M35" s="319">
        <f>Tippa!G59</f>
        <v>1</v>
      </c>
      <c r="N35" s="320">
        <f>Tippa!H59</f>
        <v>1</v>
      </c>
      <c r="O35" s="301"/>
    </row>
    <row r="36" spans="1:15" ht="11.25" customHeight="1" x14ac:dyDescent="0.2">
      <c r="A36" t="s">
        <v>201</v>
      </c>
      <c r="B36" s="293"/>
      <c r="C36" s="317" t="str">
        <f>Tippa!C60</f>
        <v>Australien - Danmark</v>
      </c>
      <c r="D36" s="312" t="str">
        <f t="shared" si="10"/>
        <v>*</v>
      </c>
      <c r="E36" s="313">
        <f t="shared" si="11"/>
        <v>0</v>
      </c>
      <c r="F36" s="90" t="s">
        <v>15</v>
      </c>
      <c r="G36" s="90" t="s">
        <v>15</v>
      </c>
      <c r="H36" s="313">
        <f t="shared" si="12"/>
        <v>0</v>
      </c>
      <c r="I36" s="301"/>
      <c r="J36" s="301"/>
      <c r="K36" s="301"/>
      <c r="L36" s="318">
        <f>Tippa!F60</f>
        <v>2</v>
      </c>
      <c r="M36" s="319">
        <f>Tippa!G60</f>
        <v>0</v>
      </c>
      <c r="N36" s="320">
        <f>Tippa!H60</f>
        <v>3</v>
      </c>
      <c r="O36" s="301"/>
    </row>
    <row r="37" spans="1:15" ht="11.25" customHeight="1" x14ac:dyDescent="0.2">
      <c r="B37" s="293"/>
      <c r="C37" s="321" t="str">
        <f>Tippa!C61</f>
        <v>Tunisien - Frankrike</v>
      </c>
      <c r="D37" s="312" t="str">
        <f t="shared" si="10"/>
        <v>*</v>
      </c>
      <c r="E37" s="313">
        <f t="shared" si="11"/>
        <v>0</v>
      </c>
      <c r="F37" s="90" t="s">
        <v>15</v>
      </c>
      <c r="G37" s="90" t="s">
        <v>15</v>
      </c>
      <c r="H37" s="313">
        <f t="shared" si="12"/>
        <v>0</v>
      </c>
      <c r="I37" s="301"/>
      <c r="J37" s="301"/>
      <c r="K37" s="301"/>
      <c r="L37" s="322">
        <f>Tippa!F61</f>
        <v>2</v>
      </c>
      <c r="M37" s="323">
        <f>Tippa!G61</f>
        <v>0</v>
      </c>
      <c r="N37" s="324">
        <f>Tippa!H61</f>
        <v>2</v>
      </c>
      <c r="O37" s="301"/>
    </row>
    <row r="38" spans="1:15" ht="11.25" customHeight="1" x14ac:dyDescent="0.2">
      <c r="B38" s="293"/>
      <c r="C38" s="325"/>
      <c r="D38" s="301"/>
      <c r="E38" s="301"/>
      <c r="F38" s="329"/>
      <c r="G38" s="329"/>
      <c r="H38" s="301"/>
      <c r="I38" s="301"/>
      <c r="J38" s="301"/>
      <c r="K38" s="327"/>
      <c r="L38" s="301"/>
      <c r="M38" s="305"/>
      <c r="N38" s="301"/>
      <c r="O38" s="301"/>
    </row>
    <row r="39" spans="1:15" ht="11.25" customHeight="1" x14ac:dyDescent="0.2">
      <c r="B39" s="293"/>
      <c r="C39" s="308" t="s">
        <v>17</v>
      </c>
      <c r="D39" s="309" t="s">
        <v>1</v>
      </c>
      <c r="E39" s="226" t="s">
        <v>2</v>
      </c>
      <c r="F39" s="372" t="s">
        <v>3</v>
      </c>
      <c r="G39" s="373"/>
      <c r="H39" s="228" t="s">
        <v>2</v>
      </c>
      <c r="I39" s="301"/>
      <c r="J39" s="310" t="s">
        <v>265</v>
      </c>
      <c r="K39" s="301"/>
      <c r="L39" s="229" t="s">
        <v>1</v>
      </c>
      <c r="M39" s="360" t="s">
        <v>341</v>
      </c>
      <c r="N39" s="361"/>
      <c r="O39" s="301"/>
    </row>
    <row r="40" spans="1:15" ht="11.25" customHeight="1" x14ac:dyDescent="0.2">
      <c r="B40" s="293"/>
      <c r="C40" s="311" t="str">
        <f>Tippa!C67</f>
        <v>Tyskland - Japan</v>
      </c>
      <c r="D40" s="312" t="str">
        <f t="shared" ref="D40:D45" si="13">IF(F40="*","*",IF(F40&gt;G40,1,IF(F40=G40,"X",IF(F40&lt;G40,2,"error"))))</f>
        <v>*</v>
      </c>
      <c r="E40" s="313">
        <f>(L40=D40)*$A$73</f>
        <v>0</v>
      </c>
      <c r="F40" s="90" t="s">
        <v>15</v>
      </c>
      <c r="G40" s="90" t="s">
        <v>15</v>
      </c>
      <c r="H40" s="313">
        <f>(F40=M40)*(G40=N40)*$A$77</f>
        <v>0</v>
      </c>
      <c r="I40" s="301"/>
      <c r="J40" s="313">
        <f>+IF(SUM(H40:H45)=$A$77*6,$A$78,0)</f>
        <v>0</v>
      </c>
      <c r="L40" s="314">
        <f>Tippa!F67</f>
        <v>1</v>
      </c>
      <c r="M40" s="315">
        <f>Tippa!G67</f>
        <v>3</v>
      </c>
      <c r="N40" s="316">
        <f>Tippa!H67</f>
        <v>1</v>
      </c>
      <c r="O40" s="301"/>
    </row>
    <row r="41" spans="1:15" ht="11.25" customHeight="1" x14ac:dyDescent="0.2">
      <c r="B41" s="293"/>
      <c r="C41" s="317" t="str">
        <f>Tippa!C68</f>
        <v>Spanien - Costa Rica</v>
      </c>
      <c r="D41" s="312" t="str">
        <f t="shared" si="13"/>
        <v>*</v>
      </c>
      <c r="E41" s="313">
        <f t="shared" ref="E41:E45" si="14">(L41=D41)*$A$73</f>
        <v>0</v>
      </c>
      <c r="F41" s="90" t="s">
        <v>15</v>
      </c>
      <c r="G41" s="90" t="s">
        <v>15</v>
      </c>
      <c r="H41" s="313">
        <f t="shared" ref="H41:H45" si="15">(F41=M41)*(G41=N41)*$A$77</f>
        <v>0</v>
      </c>
      <c r="I41" s="301"/>
      <c r="J41" s="313">
        <f>IF(SUM(E40:E45)=$A$73*6,$A$74,0)</f>
        <v>0</v>
      </c>
      <c r="L41" s="318">
        <f>Tippa!F68</f>
        <v>1</v>
      </c>
      <c r="M41" s="319">
        <f>Tippa!G68</f>
        <v>3</v>
      </c>
      <c r="N41" s="320">
        <f>Tippa!H68</f>
        <v>1</v>
      </c>
      <c r="O41" s="301"/>
    </row>
    <row r="42" spans="1:15" ht="11.25" customHeight="1" x14ac:dyDescent="0.2">
      <c r="B42" s="293"/>
      <c r="C42" s="317" t="str">
        <f>Tippa!C69</f>
        <v>Japan - Costa Rica</v>
      </c>
      <c r="D42" s="312" t="str">
        <f t="shared" si="13"/>
        <v>*</v>
      </c>
      <c r="E42" s="313">
        <f t="shared" si="14"/>
        <v>0</v>
      </c>
      <c r="F42" s="90" t="s">
        <v>15</v>
      </c>
      <c r="G42" s="90" t="s">
        <v>15</v>
      </c>
      <c r="H42" s="313">
        <f t="shared" si="15"/>
        <v>0</v>
      </c>
      <c r="I42" s="301"/>
      <c r="K42" s="301"/>
      <c r="L42" s="318">
        <f>Tippa!F69</f>
        <v>1</v>
      </c>
      <c r="M42" s="319">
        <f>Tippa!G69</f>
        <v>1</v>
      </c>
      <c r="N42" s="320">
        <f>Tippa!H69</f>
        <v>0</v>
      </c>
      <c r="O42" s="301"/>
    </row>
    <row r="43" spans="1:15" ht="11.25" customHeight="1" x14ac:dyDescent="0.2">
      <c r="B43" s="293"/>
      <c r="C43" s="317" t="str">
        <f>Tippa!C70</f>
        <v>Spanien - Tyskland</v>
      </c>
      <c r="D43" s="312" t="str">
        <f t="shared" si="13"/>
        <v>*</v>
      </c>
      <c r="E43" s="313">
        <f t="shared" si="14"/>
        <v>0</v>
      </c>
      <c r="F43" s="90" t="s">
        <v>15</v>
      </c>
      <c r="G43" s="90" t="s">
        <v>15</v>
      </c>
      <c r="H43" s="313">
        <f t="shared" si="15"/>
        <v>0</v>
      </c>
      <c r="I43" s="301"/>
      <c r="J43" s="301"/>
      <c r="K43" s="301"/>
      <c r="L43" s="318" t="str">
        <f>Tippa!F70</f>
        <v>X</v>
      </c>
      <c r="M43" s="319">
        <f>Tippa!G70</f>
        <v>2</v>
      </c>
      <c r="N43" s="320">
        <f>Tippa!H70</f>
        <v>2</v>
      </c>
      <c r="O43" s="301"/>
    </row>
    <row r="44" spans="1:15" ht="11.25" customHeight="1" x14ac:dyDescent="0.2">
      <c r="B44" s="293"/>
      <c r="C44" s="317" t="str">
        <f>Tippa!C71</f>
        <v>Costa Rica - Tyskland</v>
      </c>
      <c r="D44" s="312" t="str">
        <f t="shared" si="13"/>
        <v>*</v>
      </c>
      <c r="E44" s="313">
        <f t="shared" si="14"/>
        <v>0</v>
      </c>
      <c r="F44" s="90" t="s">
        <v>15</v>
      </c>
      <c r="G44" s="90" t="s">
        <v>15</v>
      </c>
      <c r="H44" s="313">
        <f t="shared" si="15"/>
        <v>0</v>
      </c>
      <c r="I44" s="301"/>
      <c r="J44" s="301"/>
      <c r="K44" s="301"/>
      <c r="L44" s="318">
        <f>Tippa!F71</f>
        <v>2</v>
      </c>
      <c r="M44" s="319">
        <f>Tippa!G71</f>
        <v>0</v>
      </c>
      <c r="N44" s="320">
        <f>Tippa!H71</f>
        <v>5</v>
      </c>
      <c r="O44" s="301"/>
    </row>
    <row r="45" spans="1:15" ht="11.25" customHeight="1" x14ac:dyDescent="0.2">
      <c r="B45" s="293"/>
      <c r="C45" s="321" t="str">
        <f>Tippa!C72</f>
        <v>Japan - Spanien</v>
      </c>
      <c r="D45" s="312" t="str">
        <f t="shared" si="13"/>
        <v>*</v>
      </c>
      <c r="E45" s="313">
        <f t="shared" si="14"/>
        <v>0</v>
      </c>
      <c r="F45" s="90" t="s">
        <v>15</v>
      </c>
      <c r="G45" s="90" t="s">
        <v>15</v>
      </c>
      <c r="H45" s="313">
        <f t="shared" si="15"/>
        <v>0</v>
      </c>
      <c r="I45" s="301"/>
      <c r="J45" s="301"/>
      <c r="K45" s="301"/>
      <c r="L45" s="322" t="str">
        <f>Tippa!F72</f>
        <v>X</v>
      </c>
      <c r="M45" s="323">
        <f>Tippa!G72</f>
        <v>1</v>
      </c>
      <c r="N45" s="324">
        <f>Tippa!H72</f>
        <v>1</v>
      </c>
      <c r="O45" s="301"/>
    </row>
    <row r="46" spans="1:15" ht="11.25" customHeight="1" x14ac:dyDescent="0.2">
      <c r="B46" s="293"/>
      <c r="C46" s="325"/>
      <c r="D46" s="301"/>
      <c r="E46" s="301"/>
      <c r="F46" s="329"/>
      <c r="G46" s="329"/>
      <c r="H46" s="301"/>
      <c r="I46" s="301"/>
      <c r="J46" s="301"/>
      <c r="K46" s="327"/>
      <c r="L46" s="301"/>
      <c r="M46" s="305"/>
      <c r="N46" s="301"/>
      <c r="O46" s="301"/>
    </row>
    <row r="47" spans="1:15" ht="11.25" customHeight="1" x14ac:dyDescent="0.2">
      <c r="B47" s="293"/>
      <c r="C47" s="308" t="s">
        <v>18</v>
      </c>
      <c r="D47" s="309" t="s">
        <v>1</v>
      </c>
      <c r="E47" s="226" t="s">
        <v>2</v>
      </c>
      <c r="F47" s="372" t="s">
        <v>3</v>
      </c>
      <c r="G47" s="373"/>
      <c r="H47" s="228" t="s">
        <v>2</v>
      </c>
      <c r="I47" s="301"/>
      <c r="J47" s="310" t="s">
        <v>265</v>
      </c>
      <c r="K47" s="301"/>
      <c r="L47" s="229" t="s">
        <v>1</v>
      </c>
      <c r="M47" s="360" t="s">
        <v>341</v>
      </c>
      <c r="N47" s="361"/>
      <c r="O47" s="301"/>
    </row>
    <row r="48" spans="1:15" ht="11.25" customHeight="1" x14ac:dyDescent="0.2">
      <c r="B48" s="293"/>
      <c r="C48" s="311" t="str">
        <f>Tippa!C78</f>
        <v>Belgien - Kanada</v>
      </c>
      <c r="D48" s="312" t="str">
        <f t="shared" ref="D48:D53" si="16">IF(F48="*","*",IF(F48&gt;G48,1,IF(F48=G48,"X",IF(F48&lt;G48,2,"error"))))</f>
        <v>*</v>
      </c>
      <c r="E48" s="313">
        <f>(L48=D48)*$A$73</f>
        <v>0</v>
      </c>
      <c r="F48" s="90" t="s">
        <v>15</v>
      </c>
      <c r="G48" s="90" t="s">
        <v>15</v>
      </c>
      <c r="H48" s="313">
        <f>(F48=M48)*(G48=N48)*$A$77</f>
        <v>0</v>
      </c>
      <c r="I48" s="301"/>
      <c r="J48" s="313">
        <f>+IF(SUM(H48:H53)=$A$77*6,$A$78,0)</f>
        <v>0</v>
      </c>
      <c r="L48" s="314">
        <f>Tippa!F78</f>
        <v>1</v>
      </c>
      <c r="M48" s="315">
        <f>Tippa!G78</f>
        <v>3</v>
      </c>
      <c r="N48" s="316">
        <f>Tippa!H78</f>
        <v>0</v>
      </c>
      <c r="O48" s="301"/>
    </row>
    <row r="49" spans="1:15" ht="11.25" customHeight="1" x14ac:dyDescent="0.2">
      <c r="B49" s="293"/>
      <c r="C49" s="317" t="str">
        <f>Tippa!C79</f>
        <v>Marocko - Kroatien</v>
      </c>
      <c r="D49" s="312" t="str">
        <f t="shared" si="16"/>
        <v>*</v>
      </c>
      <c r="E49" s="313">
        <f t="shared" ref="E49:E53" si="17">(L49=D49)*$A$73</f>
        <v>0</v>
      </c>
      <c r="F49" s="90" t="s">
        <v>15</v>
      </c>
      <c r="G49" s="90" t="s">
        <v>15</v>
      </c>
      <c r="H49" s="313">
        <f t="shared" ref="H49:H53" si="18">(F49=M49)*(G49=N49)*$A$77</f>
        <v>0</v>
      </c>
      <c r="I49" s="301"/>
      <c r="J49" s="313">
        <f>IF(SUM(E48:E53)=$A$73*6,$A$74,0)</f>
        <v>0</v>
      </c>
      <c r="L49" s="318">
        <f>Tippa!F79</f>
        <v>2</v>
      </c>
      <c r="M49" s="319">
        <f>Tippa!G79</f>
        <v>0</v>
      </c>
      <c r="N49" s="320">
        <f>Tippa!H79</f>
        <v>2</v>
      </c>
      <c r="O49" s="301"/>
    </row>
    <row r="50" spans="1:15" ht="11.25" customHeight="1" x14ac:dyDescent="0.2">
      <c r="A50" s="292" t="s">
        <v>15</v>
      </c>
      <c r="B50" s="293"/>
      <c r="C50" s="317" t="str">
        <f>Tippa!C80</f>
        <v>Belgien - Marocko</v>
      </c>
      <c r="D50" s="312" t="str">
        <f t="shared" si="16"/>
        <v>*</v>
      </c>
      <c r="E50" s="313">
        <f t="shared" si="17"/>
        <v>0</v>
      </c>
      <c r="F50" s="90" t="s">
        <v>15</v>
      </c>
      <c r="G50" s="90" t="s">
        <v>15</v>
      </c>
      <c r="H50" s="313">
        <f t="shared" si="18"/>
        <v>0</v>
      </c>
      <c r="I50" s="301"/>
      <c r="K50" s="301"/>
      <c r="L50" s="318">
        <f>Tippa!F80</f>
        <v>1</v>
      </c>
      <c r="M50" s="319">
        <f>Tippa!G80</f>
        <v>2</v>
      </c>
      <c r="N50" s="320">
        <f>Tippa!H80</f>
        <v>0</v>
      </c>
      <c r="O50" s="301"/>
    </row>
    <row r="51" spans="1:15" ht="11.25" customHeight="1" x14ac:dyDescent="0.2">
      <c r="A51" s="292">
        <f>Tippa!A5</f>
        <v>1</v>
      </c>
      <c r="B51" s="293"/>
      <c r="C51" s="317" t="str">
        <f>Tippa!C81</f>
        <v>Kroatien - Kanada</v>
      </c>
      <c r="D51" s="312" t="str">
        <f t="shared" si="16"/>
        <v>*</v>
      </c>
      <c r="E51" s="313">
        <f t="shared" si="17"/>
        <v>0</v>
      </c>
      <c r="F51" s="90" t="s">
        <v>15</v>
      </c>
      <c r="G51" s="90" t="s">
        <v>15</v>
      </c>
      <c r="H51" s="313">
        <f t="shared" si="18"/>
        <v>0</v>
      </c>
      <c r="I51" s="301"/>
      <c r="J51" s="301"/>
      <c r="K51" s="301"/>
      <c r="L51" s="318">
        <f>Tippa!F81</f>
        <v>1</v>
      </c>
      <c r="M51" s="319">
        <f>Tippa!G81</f>
        <v>3</v>
      </c>
      <c r="N51" s="320">
        <f>Tippa!H81</f>
        <v>0</v>
      </c>
      <c r="O51" s="301"/>
    </row>
    <row r="52" spans="1:15" ht="11.25" customHeight="1" x14ac:dyDescent="0.2">
      <c r="A52" s="292">
        <f>Tippa!A6</f>
        <v>2</v>
      </c>
      <c r="B52" s="293"/>
      <c r="C52" s="317" t="str">
        <f>Tippa!C82</f>
        <v>Kanada - Marocko</v>
      </c>
      <c r="D52" s="312" t="str">
        <f t="shared" si="16"/>
        <v>*</v>
      </c>
      <c r="E52" s="313">
        <f t="shared" si="17"/>
        <v>0</v>
      </c>
      <c r="F52" s="90" t="s">
        <v>15</v>
      </c>
      <c r="G52" s="90" t="s">
        <v>15</v>
      </c>
      <c r="H52" s="313">
        <f t="shared" si="18"/>
        <v>0</v>
      </c>
      <c r="I52" s="301"/>
      <c r="J52" s="301"/>
      <c r="K52" s="301"/>
      <c r="L52" s="318">
        <f>Tippa!F82</f>
        <v>2</v>
      </c>
      <c r="M52" s="319">
        <f>Tippa!G82</f>
        <v>0</v>
      </c>
      <c r="N52" s="320">
        <f>Tippa!H82</f>
        <v>1</v>
      </c>
      <c r="O52" s="301"/>
    </row>
    <row r="53" spans="1:15" ht="11.25" customHeight="1" x14ac:dyDescent="0.2">
      <c r="A53" s="292">
        <f>Tippa!A7</f>
        <v>3</v>
      </c>
      <c r="B53" s="293"/>
      <c r="C53" s="321" t="str">
        <f>Tippa!C83</f>
        <v>Kroatien - Belgien</v>
      </c>
      <c r="D53" s="312" t="str">
        <f t="shared" si="16"/>
        <v>*</v>
      </c>
      <c r="E53" s="313">
        <f t="shared" si="17"/>
        <v>0</v>
      </c>
      <c r="F53" s="90" t="s">
        <v>15</v>
      </c>
      <c r="G53" s="90" t="s">
        <v>15</v>
      </c>
      <c r="H53" s="313">
        <f t="shared" si="18"/>
        <v>0</v>
      </c>
      <c r="I53" s="301"/>
      <c r="J53" s="301"/>
      <c r="K53" s="301"/>
      <c r="L53" s="322">
        <f>Tippa!F83</f>
        <v>2</v>
      </c>
      <c r="M53" s="323">
        <f>Tippa!G83</f>
        <v>1</v>
      </c>
      <c r="N53" s="324">
        <f>Tippa!H83</f>
        <v>2</v>
      </c>
      <c r="O53" s="301"/>
    </row>
    <row r="54" spans="1:15" ht="11.25" customHeight="1" x14ac:dyDescent="0.2">
      <c r="A54" s="292">
        <f>Tippa!A8</f>
        <v>4</v>
      </c>
      <c r="B54" s="293"/>
      <c r="C54" s="325"/>
      <c r="D54" s="301"/>
      <c r="E54" s="301"/>
      <c r="F54" s="329"/>
      <c r="G54" s="329"/>
      <c r="H54" s="301"/>
      <c r="I54" s="301"/>
      <c r="J54" s="301"/>
      <c r="K54" s="327"/>
      <c r="L54" s="301"/>
      <c r="M54" s="305"/>
      <c r="N54" s="301"/>
      <c r="O54" s="301"/>
    </row>
    <row r="55" spans="1:15" ht="11.25" customHeight="1" x14ac:dyDescent="0.2">
      <c r="A55" s="292"/>
      <c r="B55" s="293"/>
      <c r="C55" s="308" t="s">
        <v>213</v>
      </c>
      <c r="D55" s="309" t="s">
        <v>1</v>
      </c>
      <c r="E55" s="226" t="s">
        <v>2</v>
      </c>
      <c r="F55" s="372" t="s">
        <v>3</v>
      </c>
      <c r="G55" s="373"/>
      <c r="H55" s="228" t="s">
        <v>2</v>
      </c>
      <c r="I55" s="301"/>
      <c r="J55" s="310" t="s">
        <v>265</v>
      </c>
      <c r="K55" s="301"/>
      <c r="L55" s="229" t="s">
        <v>1</v>
      </c>
      <c r="M55" s="360" t="s">
        <v>341</v>
      </c>
      <c r="N55" s="361"/>
      <c r="O55" s="301"/>
    </row>
    <row r="56" spans="1:15" ht="11.25" customHeight="1" x14ac:dyDescent="0.2">
      <c r="A56" s="292" t="s">
        <v>15</v>
      </c>
      <c r="B56" s="293"/>
      <c r="C56" s="311" t="str">
        <f>Tippa!C89</f>
        <v>Brasilien - Serbien</v>
      </c>
      <c r="D56" s="312" t="str">
        <f t="shared" ref="D56:D61" si="19">IF(F56="*","*",IF(F56&gt;G56,1,IF(F56=G56,"X",IF(F56&lt;G56,2,"error"))))</f>
        <v>*</v>
      </c>
      <c r="E56" s="313">
        <f>(L56=D56)*$A$73</f>
        <v>0</v>
      </c>
      <c r="F56" s="90" t="s">
        <v>15</v>
      </c>
      <c r="G56" s="90" t="s">
        <v>15</v>
      </c>
      <c r="H56" s="313">
        <f>(F56=M56)*(G56=N56)*$A$77</f>
        <v>0</v>
      </c>
      <c r="I56" s="301"/>
      <c r="J56" s="313">
        <f>+IF(SUM(H56:H61)=$A$77*6,$A$78,0)</f>
        <v>0</v>
      </c>
      <c r="L56" s="314">
        <f>Tippa!F89</f>
        <v>1</v>
      </c>
      <c r="M56" s="315">
        <f>Tippa!G89</f>
        <v>2</v>
      </c>
      <c r="N56" s="316">
        <f>Tippa!H89</f>
        <v>1</v>
      </c>
      <c r="O56" s="301"/>
    </row>
    <row r="57" spans="1:15" ht="11.25" customHeight="1" x14ac:dyDescent="0.2">
      <c r="A57" s="292">
        <f>Tippa!A11</f>
        <v>0</v>
      </c>
      <c r="B57" s="293"/>
      <c r="C57" s="317" t="str">
        <f>Tippa!C90</f>
        <v>Schweiz - Kamerun</v>
      </c>
      <c r="D57" s="312" t="str">
        <f t="shared" si="19"/>
        <v>*</v>
      </c>
      <c r="E57" s="313">
        <f t="shared" ref="E57:E61" si="20">(L57=D57)*$A$73</f>
        <v>0</v>
      </c>
      <c r="F57" s="90" t="s">
        <v>15</v>
      </c>
      <c r="G57" s="90" t="s">
        <v>15</v>
      </c>
      <c r="H57" s="313">
        <f t="shared" ref="H57:H61" si="21">(F57=M57)*(G57=N57)*$A$77</f>
        <v>0</v>
      </c>
      <c r="I57" s="301"/>
      <c r="J57" s="313">
        <f>IF(SUM(E56:E61)=$A$73*6,$A$74,0)</f>
        <v>0</v>
      </c>
      <c r="L57" s="318" t="str">
        <f>Tippa!F90</f>
        <v>X</v>
      </c>
      <c r="M57" s="319">
        <f>Tippa!G90</f>
        <v>1</v>
      </c>
      <c r="N57" s="320">
        <f>Tippa!H90</f>
        <v>1</v>
      </c>
      <c r="O57" s="301"/>
    </row>
    <row r="58" spans="1:15" ht="11.25" customHeight="1" x14ac:dyDescent="0.2">
      <c r="A58" s="292">
        <f>Tippa!A12</f>
        <v>1</v>
      </c>
      <c r="B58" s="293"/>
      <c r="C58" s="317" t="str">
        <f>Tippa!C91</f>
        <v>Kamerun - Serbien</v>
      </c>
      <c r="D58" s="312" t="str">
        <f t="shared" si="19"/>
        <v>*</v>
      </c>
      <c r="E58" s="313">
        <f t="shared" si="20"/>
        <v>0</v>
      </c>
      <c r="F58" s="90" t="s">
        <v>15</v>
      </c>
      <c r="G58" s="90" t="s">
        <v>15</v>
      </c>
      <c r="H58" s="313">
        <f t="shared" si="21"/>
        <v>0</v>
      </c>
      <c r="I58" s="301"/>
      <c r="K58" s="301"/>
      <c r="L58" s="318">
        <f>Tippa!F91</f>
        <v>1</v>
      </c>
      <c r="M58" s="319">
        <f>Tippa!G91</f>
        <v>1</v>
      </c>
      <c r="N58" s="320">
        <f>Tippa!H91</f>
        <v>0</v>
      </c>
      <c r="O58" s="301"/>
    </row>
    <row r="59" spans="1:15" ht="11.25" customHeight="1" x14ac:dyDescent="0.2">
      <c r="A59" s="292">
        <f>Tippa!A14</f>
        <v>3</v>
      </c>
      <c r="B59" s="293"/>
      <c r="C59" s="317" t="str">
        <f>Tippa!C92</f>
        <v>Brasilien - Schweiz</v>
      </c>
      <c r="D59" s="312" t="str">
        <f t="shared" si="19"/>
        <v>*</v>
      </c>
      <c r="E59" s="313">
        <f t="shared" si="20"/>
        <v>0</v>
      </c>
      <c r="F59" s="90" t="s">
        <v>15</v>
      </c>
      <c r="G59" s="90" t="s">
        <v>15</v>
      </c>
      <c r="H59" s="313">
        <f t="shared" si="21"/>
        <v>0</v>
      </c>
      <c r="I59" s="301"/>
      <c r="J59" s="301"/>
      <c r="K59" s="301"/>
      <c r="L59" s="318">
        <f>Tippa!F92</f>
        <v>1</v>
      </c>
      <c r="M59" s="319">
        <f>Tippa!G92</f>
        <v>4</v>
      </c>
      <c r="N59" s="320">
        <f>Tippa!H92</f>
        <v>0</v>
      </c>
      <c r="O59" s="301"/>
    </row>
    <row r="60" spans="1:15" ht="11.25" customHeight="1" x14ac:dyDescent="0.2">
      <c r="A60" s="292">
        <f>Tippa!A15</f>
        <v>4</v>
      </c>
      <c r="B60" s="293"/>
      <c r="C60" s="317" t="str">
        <f>Tippa!C93</f>
        <v>Serbien - Schweiz</v>
      </c>
      <c r="D60" s="312" t="str">
        <f t="shared" si="19"/>
        <v>*</v>
      </c>
      <c r="E60" s="313">
        <f t="shared" si="20"/>
        <v>0</v>
      </c>
      <c r="F60" s="90" t="s">
        <v>15</v>
      </c>
      <c r="G60" s="90" t="s">
        <v>15</v>
      </c>
      <c r="H60" s="313">
        <f t="shared" si="21"/>
        <v>0</v>
      </c>
      <c r="I60" s="301"/>
      <c r="J60" s="301"/>
      <c r="K60" s="301"/>
      <c r="L60" s="318" t="str">
        <f>Tippa!F93</f>
        <v>X</v>
      </c>
      <c r="M60" s="319">
        <f>Tippa!G93</f>
        <v>1</v>
      </c>
      <c r="N60" s="320">
        <f>Tippa!H93</f>
        <v>1</v>
      </c>
      <c r="O60" s="301"/>
    </row>
    <row r="61" spans="1:15" ht="11.25" customHeight="1" x14ac:dyDescent="0.2">
      <c r="A61" s="292">
        <f>Tippa!A16</f>
        <v>5</v>
      </c>
      <c r="B61" s="293"/>
      <c r="C61" s="321" t="str">
        <f>Tippa!C94</f>
        <v>Kamerun - Brasilien</v>
      </c>
      <c r="D61" s="312" t="str">
        <f t="shared" si="19"/>
        <v>*</v>
      </c>
      <c r="E61" s="313">
        <f t="shared" si="20"/>
        <v>0</v>
      </c>
      <c r="F61" s="90" t="s">
        <v>15</v>
      </c>
      <c r="G61" s="90" t="s">
        <v>15</v>
      </c>
      <c r="H61" s="313">
        <f t="shared" si="21"/>
        <v>0</v>
      </c>
      <c r="I61" s="301"/>
      <c r="J61" s="301"/>
      <c r="K61" s="301"/>
      <c r="L61" s="322">
        <f>Tippa!F94</f>
        <v>2</v>
      </c>
      <c r="M61" s="323">
        <f>Tippa!G94</f>
        <v>1</v>
      </c>
      <c r="N61" s="324">
        <f>Tippa!H94</f>
        <v>2</v>
      </c>
      <c r="O61" s="301"/>
    </row>
    <row r="62" spans="1:15" ht="11.25" customHeight="1" x14ac:dyDescent="0.2">
      <c r="A62" s="292">
        <f>Tippa!A17</f>
        <v>6</v>
      </c>
      <c r="B62" s="293"/>
      <c r="C62" s="325"/>
      <c r="D62" s="301"/>
      <c r="E62" s="301"/>
      <c r="F62" s="329"/>
      <c r="G62" s="329"/>
      <c r="H62" s="301"/>
      <c r="I62" s="301"/>
      <c r="J62" s="301"/>
      <c r="K62" s="327"/>
      <c r="L62" s="301"/>
      <c r="M62" s="305"/>
      <c r="N62" s="301"/>
      <c r="O62" s="301"/>
    </row>
    <row r="63" spans="1:15" ht="11.25" customHeight="1" x14ac:dyDescent="0.2">
      <c r="A63" s="292">
        <f>Tippa!A18</f>
        <v>7</v>
      </c>
      <c r="B63" s="293"/>
      <c r="C63" s="308" t="s">
        <v>157</v>
      </c>
      <c r="D63" s="309" t="s">
        <v>1</v>
      </c>
      <c r="E63" s="226" t="s">
        <v>2</v>
      </c>
      <c r="F63" s="372" t="s">
        <v>3</v>
      </c>
      <c r="G63" s="373"/>
      <c r="H63" s="228" t="s">
        <v>2</v>
      </c>
      <c r="I63" s="301"/>
      <c r="J63" s="310" t="s">
        <v>265</v>
      </c>
      <c r="K63" s="301"/>
      <c r="L63" s="229" t="s">
        <v>1</v>
      </c>
      <c r="M63" s="360" t="s">
        <v>341</v>
      </c>
      <c r="N63" s="361"/>
      <c r="O63" s="301"/>
    </row>
    <row r="64" spans="1:15" ht="11.25" customHeight="1" x14ac:dyDescent="0.2">
      <c r="A64" s="292">
        <f>Tippa!A19</f>
        <v>8</v>
      </c>
      <c r="B64" s="293"/>
      <c r="C64" s="311" t="str">
        <f>Tippa!C100</f>
        <v>Portugal - Ghana</v>
      </c>
      <c r="D64" s="312" t="str">
        <f t="shared" ref="D64:D69" si="22">IF(F64="*","*",IF(F64&gt;G64,1,IF(F64=G64,"X",IF(F64&lt;G64,2,"error"))))</f>
        <v>*</v>
      </c>
      <c r="E64" s="313">
        <f>(L64=D64)*$A$73</f>
        <v>0</v>
      </c>
      <c r="F64" s="90" t="s">
        <v>15</v>
      </c>
      <c r="G64" s="90" t="s">
        <v>15</v>
      </c>
      <c r="H64" s="313">
        <f>(F64=M64)*(G64=N64)*$A$77</f>
        <v>0</v>
      </c>
      <c r="I64" s="301"/>
      <c r="J64" s="313">
        <f>+IF(SUM(H64:H69)=$A$77*6,$A$78,0)</f>
        <v>0</v>
      </c>
      <c r="L64" s="314">
        <f>Tippa!F100</f>
        <v>1</v>
      </c>
      <c r="M64" s="315">
        <f>Tippa!G100</f>
        <v>3</v>
      </c>
      <c r="N64" s="316">
        <f>Tippa!H100</f>
        <v>0</v>
      </c>
      <c r="O64" s="301"/>
    </row>
    <row r="65" spans="1:15" ht="11.25" customHeight="1" x14ac:dyDescent="0.2">
      <c r="A65" s="292">
        <f>Tippa!A20</f>
        <v>9</v>
      </c>
      <c r="B65" s="293"/>
      <c r="C65" s="317" t="str">
        <f>Tippa!C101</f>
        <v>Uruguay - Sydkorea</v>
      </c>
      <c r="D65" s="312" t="str">
        <f t="shared" si="22"/>
        <v>*</v>
      </c>
      <c r="E65" s="313">
        <f t="shared" ref="E65:E69" si="23">(L65=D65)*$A$73</f>
        <v>0</v>
      </c>
      <c r="F65" s="90" t="s">
        <v>15</v>
      </c>
      <c r="G65" s="90" t="s">
        <v>15</v>
      </c>
      <c r="H65" s="313">
        <f t="shared" ref="H65:H69" si="24">(F65=M65)*(G65=N65)*$A$77</f>
        <v>0</v>
      </c>
      <c r="I65" s="301"/>
      <c r="J65" s="313">
        <f>IF(SUM(E64:E69)=$A$73*6,$A$74,0)</f>
        <v>0</v>
      </c>
      <c r="L65" s="318">
        <f>Tippa!F101</f>
        <v>1</v>
      </c>
      <c r="M65" s="319">
        <f>Tippa!G101</f>
        <v>2</v>
      </c>
      <c r="N65" s="320">
        <f>Tippa!H101</f>
        <v>0</v>
      </c>
      <c r="O65" s="301"/>
    </row>
    <row r="66" spans="1:15" ht="11.25" customHeight="1" x14ac:dyDescent="0.2">
      <c r="A66" s="292">
        <f>Tippa!A21</f>
        <v>10</v>
      </c>
      <c r="B66" s="293"/>
      <c r="C66" s="317" t="str">
        <f>Tippa!C102</f>
        <v>Portugal - Uruguay</v>
      </c>
      <c r="D66" s="312" t="str">
        <f t="shared" si="22"/>
        <v>*</v>
      </c>
      <c r="E66" s="313">
        <f t="shared" si="23"/>
        <v>0</v>
      </c>
      <c r="F66" s="90" t="s">
        <v>15</v>
      </c>
      <c r="G66" s="90" t="s">
        <v>15</v>
      </c>
      <c r="H66" s="313">
        <f t="shared" si="24"/>
        <v>0</v>
      </c>
      <c r="I66" s="301"/>
      <c r="K66" s="301"/>
      <c r="L66" s="318" t="str">
        <f>Tippa!F102</f>
        <v>X</v>
      </c>
      <c r="M66" s="319">
        <f>Tippa!G102</f>
        <v>1</v>
      </c>
      <c r="N66" s="320">
        <f>Tippa!H102</f>
        <v>1</v>
      </c>
      <c r="O66" s="301"/>
    </row>
    <row r="67" spans="1:15" ht="11.25" customHeight="1" x14ac:dyDescent="0.2">
      <c r="A67" s="292" t="str">
        <f>Tippa!A22</f>
        <v>-</v>
      </c>
      <c r="B67" s="293"/>
      <c r="C67" s="317" t="str">
        <f>Tippa!C103</f>
        <v>Sydkorea - Ghana</v>
      </c>
      <c r="D67" s="312" t="str">
        <f t="shared" si="22"/>
        <v>*</v>
      </c>
      <c r="E67" s="313">
        <f t="shared" si="23"/>
        <v>0</v>
      </c>
      <c r="F67" s="90" t="s">
        <v>15</v>
      </c>
      <c r="G67" s="90" t="s">
        <v>15</v>
      </c>
      <c r="H67" s="313">
        <f t="shared" si="24"/>
        <v>0</v>
      </c>
      <c r="I67" s="301"/>
      <c r="J67" s="301"/>
      <c r="K67" s="301"/>
      <c r="L67" s="318">
        <f>Tippa!F103</f>
        <v>2</v>
      </c>
      <c r="M67" s="319">
        <f>Tippa!G103</f>
        <v>0</v>
      </c>
      <c r="N67" s="320">
        <f>Tippa!H103</f>
        <v>1</v>
      </c>
      <c r="O67" s="301"/>
    </row>
    <row r="68" spans="1:15" ht="11.25" customHeight="1" x14ac:dyDescent="0.2">
      <c r="A68" s="292"/>
      <c r="B68" s="293"/>
      <c r="C68" s="317" t="str">
        <f>Tippa!C104</f>
        <v>Ghana - Uruguay</v>
      </c>
      <c r="D68" s="312" t="str">
        <f t="shared" si="22"/>
        <v>*</v>
      </c>
      <c r="E68" s="313">
        <f t="shared" si="23"/>
        <v>0</v>
      </c>
      <c r="F68" s="90" t="s">
        <v>15</v>
      </c>
      <c r="G68" s="90" t="s">
        <v>15</v>
      </c>
      <c r="H68" s="313">
        <f t="shared" si="24"/>
        <v>0</v>
      </c>
      <c r="I68" s="301"/>
      <c r="J68" s="301"/>
      <c r="K68" s="301"/>
      <c r="L68" s="318">
        <f>Tippa!F104</f>
        <v>2</v>
      </c>
      <c r="M68" s="319">
        <f>Tippa!G104</f>
        <v>0</v>
      </c>
      <c r="N68" s="320">
        <f>Tippa!H104</f>
        <v>2</v>
      </c>
      <c r="O68" s="301"/>
    </row>
    <row r="69" spans="1:15" ht="11.25" customHeight="1" x14ac:dyDescent="0.2">
      <c r="A69" s="292"/>
      <c r="B69" s="293"/>
      <c r="C69" s="321" t="str">
        <f>Tippa!C105</f>
        <v>Sydkorea - Portugal</v>
      </c>
      <c r="D69" s="312" t="str">
        <f t="shared" si="22"/>
        <v>*</v>
      </c>
      <c r="E69" s="313">
        <f t="shared" si="23"/>
        <v>0</v>
      </c>
      <c r="F69" s="90" t="s">
        <v>15</v>
      </c>
      <c r="G69" s="90" t="s">
        <v>15</v>
      </c>
      <c r="H69" s="313">
        <f t="shared" si="24"/>
        <v>0</v>
      </c>
      <c r="I69" s="301"/>
      <c r="J69" s="301"/>
      <c r="K69" s="301"/>
      <c r="L69" s="322">
        <f>Tippa!F105</f>
        <v>2</v>
      </c>
      <c r="M69" s="323">
        <f>Tippa!G105</f>
        <v>0</v>
      </c>
      <c r="N69" s="324">
        <f>Tippa!H105</f>
        <v>2</v>
      </c>
      <c r="O69" s="301"/>
    </row>
    <row r="70" spans="1:15" ht="11.25" customHeight="1" x14ac:dyDescent="0.2">
      <c r="A70" s="149" t="s">
        <v>255</v>
      </c>
      <c r="B70" s="293"/>
      <c r="C70" s="325"/>
      <c r="D70" s="301"/>
      <c r="E70" s="301"/>
      <c r="F70" s="329"/>
      <c r="G70" s="329"/>
      <c r="H70" s="301"/>
      <c r="I70" s="301"/>
      <c r="J70" s="301"/>
      <c r="K70" s="301"/>
      <c r="L70" s="301"/>
      <c r="M70" s="305"/>
      <c r="N70" s="301"/>
      <c r="O70" s="301"/>
    </row>
    <row r="71" spans="1:15" ht="11.25" customHeight="1" thickBot="1" x14ac:dyDescent="0.25">
      <c r="A71" s="149"/>
      <c r="B71" s="293"/>
      <c r="C71" s="330" t="s">
        <v>5</v>
      </c>
      <c r="D71" s="330"/>
      <c r="E71" s="331">
        <f>SUM(E8:E13,E16:E21,E24:E29,E32:E37,E40:E45,E48:E53,E56:E61,E64:E69)</f>
        <v>0</v>
      </c>
      <c r="F71" s="330"/>
      <c r="G71" s="330"/>
      <c r="H71" s="331">
        <f>SUM(H8:H13,H16:H21,H24:H29,H32:H37,H40:H45,H48:H53,H56:H61,H64:H69)</f>
        <v>0</v>
      </c>
      <c r="I71" s="330"/>
      <c r="J71" s="331">
        <f>SUM(J8:J9,J16:J17,J24:J25,J32:J33,J40:J41,J48:J49,J56:J57,J64:J65)</f>
        <v>0</v>
      </c>
      <c r="K71" s="301"/>
      <c r="L71" s="301"/>
      <c r="M71" s="305"/>
      <c r="N71" s="301"/>
      <c r="O71" s="301"/>
    </row>
    <row r="72" spans="1:15" ht="11.25" customHeight="1" thickTop="1" x14ac:dyDescent="0.2">
      <c r="A72" s="149"/>
      <c r="B72" s="293"/>
      <c r="C72" s="325"/>
      <c r="D72" s="301"/>
      <c r="E72" s="301"/>
      <c r="F72" s="329"/>
      <c r="G72" s="329"/>
      <c r="H72" s="301"/>
      <c r="I72" s="301"/>
      <c r="J72" s="301"/>
      <c r="K72" s="301"/>
      <c r="L72" s="301"/>
      <c r="M72" s="305"/>
      <c r="N72" s="301"/>
      <c r="O72" s="301"/>
    </row>
    <row r="73" spans="1:15" ht="11.25" customHeight="1" x14ac:dyDescent="0.2">
      <c r="A73" s="332">
        <v>10</v>
      </c>
      <c r="B73" s="293"/>
      <c r="C73" s="263" t="s">
        <v>253</v>
      </c>
      <c r="D73" s="265"/>
      <c r="E73" s="265"/>
      <c r="F73" s="266"/>
      <c r="G73" s="266"/>
      <c r="H73" s="265"/>
      <c r="I73" s="265"/>
      <c r="J73" s="265"/>
      <c r="K73" s="265"/>
      <c r="L73" s="265"/>
      <c r="M73" s="300"/>
      <c r="N73" s="265"/>
      <c r="O73" s="301"/>
    </row>
    <row r="74" spans="1:15" ht="11.25" customHeight="1" x14ac:dyDescent="0.2">
      <c r="A74" s="165">
        <v>30</v>
      </c>
      <c r="B74" s="293"/>
      <c r="C74" s="268" t="s">
        <v>291</v>
      </c>
      <c r="D74" s="270"/>
      <c r="E74" s="270"/>
      <c r="F74" s="281"/>
      <c r="G74" s="281"/>
      <c r="H74" s="270"/>
      <c r="I74" s="270"/>
      <c r="J74" s="270"/>
      <c r="K74" s="270"/>
      <c r="L74" s="270"/>
      <c r="M74" s="302"/>
      <c r="N74" s="270"/>
      <c r="O74" s="301"/>
    </row>
    <row r="75" spans="1:15" ht="11.25" customHeight="1" x14ac:dyDescent="0.2">
      <c r="A75" s="149" t="s">
        <v>256</v>
      </c>
      <c r="B75" s="293"/>
      <c r="C75" s="325"/>
      <c r="D75" s="301"/>
      <c r="E75" s="301"/>
      <c r="F75" s="329"/>
      <c r="G75" s="329"/>
      <c r="H75" s="301"/>
      <c r="I75" s="301"/>
      <c r="J75" s="301"/>
      <c r="K75" s="301"/>
      <c r="L75" s="301"/>
      <c r="M75" s="305"/>
      <c r="N75" s="301"/>
      <c r="O75" s="301"/>
    </row>
    <row r="76" spans="1:15" ht="11.25" customHeight="1" x14ac:dyDescent="0.2">
      <c r="A76" s="149"/>
      <c r="B76" s="293"/>
      <c r="C76" s="333" t="s">
        <v>289</v>
      </c>
      <c r="D76" s="333"/>
      <c r="E76" s="333"/>
      <c r="F76" s="333"/>
      <c r="G76" s="333"/>
      <c r="H76" s="333"/>
      <c r="I76" s="333"/>
      <c r="J76" s="333"/>
      <c r="K76" s="301"/>
      <c r="L76" s="333"/>
      <c r="M76" s="334" t="s">
        <v>271</v>
      </c>
      <c r="N76" s="333"/>
      <c r="O76" s="301"/>
    </row>
    <row r="77" spans="1:15" ht="11.25" customHeight="1" x14ac:dyDescent="0.2">
      <c r="A77" s="332">
        <v>5</v>
      </c>
      <c r="B77" s="293"/>
      <c r="C77" s="335" t="str">
        <f>C7</f>
        <v>Grupp  A</v>
      </c>
      <c r="D77" s="336" t="s">
        <v>4</v>
      </c>
      <c r="E77" s="337" t="s">
        <v>2</v>
      </c>
      <c r="F77" s="301"/>
      <c r="G77" s="301"/>
      <c r="H77" s="301"/>
      <c r="I77" s="301"/>
      <c r="J77" s="338" t="s">
        <v>265</v>
      </c>
      <c r="K77" s="327"/>
      <c r="L77" s="301"/>
      <c r="M77" s="313" t="s">
        <v>4</v>
      </c>
      <c r="N77" s="301"/>
      <c r="O77" s="301"/>
    </row>
    <row r="78" spans="1:15" ht="11.25" customHeight="1" x14ac:dyDescent="0.2">
      <c r="A78" s="165">
        <v>50</v>
      </c>
      <c r="B78" s="293"/>
      <c r="C78" s="339" t="str">
        <f>Beräkningar!N4</f>
        <v>Qatar</v>
      </c>
      <c r="D78" s="88" t="s">
        <v>15</v>
      </c>
      <c r="E78" s="313">
        <f>IF(D78=M78,$A$80,0)</f>
        <v>0</v>
      </c>
      <c r="F78" s="340"/>
      <c r="G78" s="340"/>
      <c r="H78" s="301"/>
      <c r="I78" s="301"/>
      <c r="J78" s="313">
        <f>IF(SUM(E78:E81)=$A$80*4,$A$81,0)</f>
        <v>0</v>
      </c>
      <c r="K78" s="327"/>
      <c r="M78" s="341">
        <f>Beräkningar!AO4</f>
        <v>4</v>
      </c>
      <c r="N78" s="301"/>
      <c r="O78" s="301"/>
    </row>
    <row r="79" spans="1:15" ht="11.25" customHeight="1" x14ac:dyDescent="0.2">
      <c r="A79" s="149" t="s">
        <v>257</v>
      </c>
      <c r="B79" s="293"/>
      <c r="C79" s="342" t="str">
        <f>Beräkningar!N5</f>
        <v>Ecuador</v>
      </c>
      <c r="D79" s="88" t="s">
        <v>15</v>
      </c>
      <c r="E79" s="313">
        <f t="shared" ref="E79:E81" si="25">IF(D79=M79,$A$80,0)</f>
        <v>0</v>
      </c>
      <c r="F79" s="343"/>
      <c r="G79" s="343"/>
      <c r="H79" s="301"/>
      <c r="I79" s="301"/>
      <c r="J79" s="301"/>
      <c r="K79" s="327"/>
      <c r="M79" s="344">
        <f>Beräkningar!AO5</f>
        <v>3</v>
      </c>
      <c r="N79" s="301"/>
      <c r="O79" s="301"/>
    </row>
    <row r="80" spans="1:15" ht="11.25" customHeight="1" x14ac:dyDescent="0.2">
      <c r="A80" s="332">
        <v>10</v>
      </c>
      <c r="B80" s="293"/>
      <c r="C80" s="342" t="str">
        <f>Beräkningar!N6</f>
        <v>Senegal</v>
      </c>
      <c r="D80" s="88" t="s">
        <v>15</v>
      </c>
      <c r="E80" s="313">
        <f t="shared" si="25"/>
        <v>0</v>
      </c>
      <c r="F80" s="343"/>
      <c r="G80" s="343"/>
      <c r="H80" s="301"/>
      <c r="I80" s="301"/>
      <c r="J80" s="301"/>
      <c r="K80" s="327"/>
      <c r="L80" s="301"/>
      <c r="M80" s="344">
        <f>Beräkningar!AO6</f>
        <v>2</v>
      </c>
      <c r="N80" s="301"/>
      <c r="O80" s="301"/>
    </row>
    <row r="81" spans="1:15" ht="11.25" customHeight="1" x14ac:dyDescent="0.2">
      <c r="A81" s="165">
        <v>20</v>
      </c>
      <c r="B81" s="293"/>
      <c r="C81" s="345" t="str">
        <f>Beräkningar!N7</f>
        <v>Nederländerna</v>
      </c>
      <c r="D81" s="88" t="s">
        <v>15</v>
      </c>
      <c r="E81" s="313">
        <f t="shared" si="25"/>
        <v>0</v>
      </c>
      <c r="F81" s="343"/>
      <c r="G81" s="343"/>
      <c r="H81" s="301"/>
      <c r="I81" s="301"/>
      <c r="J81" s="301"/>
      <c r="K81" s="327"/>
      <c r="L81" s="301"/>
      <c r="M81" s="346">
        <f>Beräkningar!AO7</f>
        <v>1</v>
      </c>
      <c r="N81" s="301"/>
      <c r="O81" s="301"/>
    </row>
    <row r="82" spans="1:15" ht="11.25" customHeight="1" x14ac:dyDescent="0.2">
      <c r="A82" s="149" t="s">
        <v>258</v>
      </c>
      <c r="B82" s="293"/>
      <c r="C82" s="347"/>
      <c r="D82" s="301"/>
      <c r="E82" s="329"/>
      <c r="F82" s="329"/>
      <c r="G82" s="329"/>
      <c r="H82" s="301"/>
      <c r="I82" s="301"/>
      <c r="J82" s="301"/>
      <c r="K82" s="327"/>
      <c r="L82" s="301"/>
      <c r="N82" s="301"/>
      <c r="O82" s="301"/>
    </row>
    <row r="83" spans="1:15" ht="11.25" customHeight="1" x14ac:dyDescent="0.2">
      <c r="A83" s="332">
        <v>20</v>
      </c>
      <c r="B83" s="293"/>
      <c r="C83" s="308" t="str">
        <f>C15</f>
        <v>Grupp  B</v>
      </c>
      <c r="D83" s="309" t="s">
        <v>4</v>
      </c>
      <c r="E83" s="228" t="s">
        <v>2</v>
      </c>
      <c r="F83" s="301"/>
      <c r="G83" s="301"/>
      <c r="H83" s="301"/>
      <c r="I83" s="301"/>
      <c r="J83" s="310" t="s">
        <v>265</v>
      </c>
      <c r="K83" s="327"/>
      <c r="L83" s="301"/>
      <c r="M83" s="313" t="s">
        <v>4</v>
      </c>
      <c r="N83" s="301"/>
      <c r="O83" s="301"/>
    </row>
    <row r="84" spans="1:15" ht="11.25" customHeight="1" x14ac:dyDescent="0.2">
      <c r="A84" s="165">
        <v>50</v>
      </c>
      <c r="B84" s="293"/>
      <c r="C84" s="339" t="str">
        <f>Beräkningar!N9</f>
        <v>England</v>
      </c>
      <c r="D84" s="88" t="s">
        <v>15</v>
      </c>
      <c r="E84" s="313">
        <f>IF(D84=M84,$A$80,0)</f>
        <v>0</v>
      </c>
      <c r="G84" s="340"/>
      <c r="H84" s="301"/>
      <c r="I84" s="301"/>
      <c r="J84" s="313">
        <f>IF(SUM(E84:E87)=$A$80*4,$A$81,0)</f>
        <v>0</v>
      </c>
      <c r="K84" s="327"/>
      <c r="L84" s="301"/>
      <c r="M84" s="341">
        <f>Beräkningar!AO9</f>
        <v>1</v>
      </c>
      <c r="N84" s="301"/>
      <c r="O84" s="301"/>
    </row>
    <row r="85" spans="1:15" ht="11.25" customHeight="1" x14ac:dyDescent="0.2">
      <c r="A85" s="149" t="s">
        <v>259</v>
      </c>
      <c r="B85" s="293"/>
      <c r="C85" s="342" t="str">
        <f>Beräkningar!N10</f>
        <v>Iran</v>
      </c>
      <c r="D85" s="88" t="s">
        <v>15</v>
      </c>
      <c r="E85" s="313">
        <f t="shared" ref="E85:E87" si="26">IF(D85=M85,$A$80,0)</f>
        <v>0</v>
      </c>
      <c r="G85" s="343"/>
      <c r="H85" s="301"/>
      <c r="I85" s="301"/>
      <c r="J85" s="301"/>
      <c r="K85" s="327"/>
      <c r="L85" s="301"/>
      <c r="M85" s="344">
        <f>Beräkningar!AO10</f>
        <v>4</v>
      </c>
      <c r="N85" s="301"/>
      <c r="O85" s="301"/>
    </row>
    <row r="86" spans="1:15" ht="11.25" customHeight="1" x14ac:dyDescent="0.2">
      <c r="A86" s="332">
        <v>20</v>
      </c>
      <c r="B86" s="293"/>
      <c r="C86" s="342" t="str">
        <f>Beräkningar!N11</f>
        <v>USA</v>
      </c>
      <c r="D86" s="88" t="s">
        <v>15</v>
      </c>
      <c r="E86" s="313">
        <f t="shared" si="26"/>
        <v>0</v>
      </c>
      <c r="G86" s="343"/>
      <c r="H86" s="301"/>
      <c r="I86" s="301"/>
      <c r="J86" s="301"/>
      <c r="K86" s="327"/>
      <c r="L86" s="301"/>
      <c r="M86" s="344">
        <f>Beräkningar!AO11</f>
        <v>2</v>
      </c>
      <c r="N86" s="301"/>
      <c r="O86" s="301"/>
    </row>
    <row r="87" spans="1:15" ht="11.25" customHeight="1" x14ac:dyDescent="0.2">
      <c r="A87" s="165">
        <v>50</v>
      </c>
      <c r="B87" s="293"/>
      <c r="C87" s="345" t="str">
        <f>Beräkningar!N12</f>
        <v>Wales</v>
      </c>
      <c r="D87" s="88" t="s">
        <v>15</v>
      </c>
      <c r="E87" s="313">
        <f t="shared" si="26"/>
        <v>0</v>
      </c>
      <c r="G87" s="343"/>
      <c r="H87" s="301"/>
      <c r="I87" s="301"/>
      <c r="J87" s="301"/>
      <c r="K87" s="327"/>
      <c r="L87" s="301"/>
      <c r="M87" s="346">
        <f>Beräkningar!AO12</f>
        <v>3</v>
      </c>
      <c r="N87" s="301"/>
      <c r="O87" s="301"/>
    </row>
    <row r="88" spans="1:15" ht="11.25" customHeight="1" x14ac:dyDescent="0.2">
      <c r="A88" s="149" t="s">
        <v>260</v>
      </c>
      <c r="B88" s="293"/>
      <c r="C88" s="347"/>
      <c r="D88" s="301"/>
      <c r="E88" s="329"/>
      <c r="G88" s="329"/>
      <c r="H88" s="301"/>
      <c r="I88" s="301"/>
      <c r="J88" s="301"/>
      <c r="K88" s="327"/>
      <c r="L88" s="301"/>
      <c r="N88" s="301"/>
      <c r="O88" s="301"/>
    </row>
    <row r="89" spans="1:15" ht="11.25" customHeight="1" x14ac:dyDescent="0.2">
      <c r="A89" s="332">
        <v>20</v>
      </c>
      <c r="B89" s="293"/>
      <c r="C89" s="308" t="str">
        <f>C23</f>
        <v>Grupp  C</v>
      </c>
      <c r="D89" s="309" t="s">
        <v>4</v>
      </c>
      <c r="E89" s="228" t="s">
        <v>2</v>
      </c>
      <c r="G89" s="301"/>
      <c r="H89" s="301"/>
      <c r="I89" s="301"/>
      <c r="J89" s="310" t="s">
        <v>265</v>
      </c>
      <c r="K89" s="327"/>
      <c r="L89" s="301"/>
      <c r="M89" s="313" t="s">
        <v>4</v>
      </c>
      <c r="N89" s="301"/>
      <c r="O89" s="301"/>
    </row>
    <row r="90" spans="1:15" ht="11.25" customHeight="1" x14ac:dyDescent="0.2">
      <c r="A90" s="332">
        <v>30</v>
      </c>
      <c r="B90" s="293"/>
      <c r="C90" s="339" t="str">
        <f>Beräkningar!N14</f>
        <v>Argentina</v>
      </c>
      <c r="D90" s="88" t="s">
        <v>15</v>
      </c>
      <c r="E90" s="313">
        <f>IF(D90=M90,$A$80,0)</f>
        <v>0</v>
      </c>
      <c r="G90" s="340"/>
      <c r="H90" s="301"/>
      <c r="I90" s="301"/>
      <c r="J90" s="313">
        <f>IF(SUM(E90:E93)=$A$80*4,$A$81,0)</f>
        <v>0</v>
      </c>
      <c r="K90" s="327"/>
      <c r="L90" s="301"/>
      <c r="M90" s="341">
        <f>Beräkningar!AO14</f>
        <v>1</v>
      </c>
      <c r="N90" s="301"/>
      <c r="O90" s="301"/>
    </row>
    <row r="91" spans="1:15" ht="11.25" customHeight="1" x14ac:dyDescent="0.2">
      <c r="A91" s="165">
        <v>100</v>
      </c>
      <c r="B91" s="293"/>
      <c r="C91" s="342" t="str">
        <f>Beräkningar!N15</f>
        <v>Saudiarabien</v>
      </c>
      <c r="D91" s="88" t="s">
        <v>15</v>
      </c>
      <c r="E91" s="313">
        <f t="shared" ref="E91:E93" si="27">IF(D91=M91,$A$80,0)</f>
        <v>0</v>
      </c>
      <c r="G91" s="343"/>
      <c r="H91" s="301"/>
      <c r="I91" s="301"/>
      <c r="J91" s="301"/>
      <c r="K91" s="327"/>
      <c r="L91" s="301"/>
      <c r="M91" s="344">
        <f>Beräkningar!AO15</f>
        <v>4</v>
      </c>
      <c r="N91" s="301"/>
      <c r="O91" s="301"/>
    </row>
    <row r="92" spans="1:15" ht="11.25" customHeight="1" x14ac:dyDescent="0.2">
      <c r="A92" s="149" t="s">
        <v>261</v>
      </c>
      <c r="B92" s="293"/>
      <c r="C92" s="342" t="str">
        <f>Beräkningar!N16</f>
        <v>Mexiko</v>
      </c>
      <c r="D92" s="88" t="s">
        <v>15</v>
      </c>
      <c r="E92" s="313">
        <f t="shared" si="27"/>
        <v>0</v>
      </c>
      <c r="G92" s="343"/>
      <c r="H92" s="301"/>
      <c r="I92" s="301"/>
      <c r="J92" s="301"/>
      <c r="K92" s="327"/>
      <c r="L92" s="301"/>
      <c r="M92" s="344">
        <f>Beräkningar!AO16</f>
        <v>2</v>
      </c>
      <c r="N92" s="301"/>
      <c r="O92" s="301"/>
    </row>
    <row r="93" spans="1:15" ht="11.25" customHeight="1" x14ac:dyDescent="0.2">
      <c r="A93" s="332">
        <v>20</v>
      </c>
      <c r="B93" s="293"/>
      <c r="C93" s="345" t="str">
        <f>Beräkningar!N17</f>
        <v>Polen</v>
      </c>
      <c r="D93" s="88" t="s">
        <v>15</v>
      </c>
      <c r="E93" s="313">
        <f t="shared" si="27"/>
        <v>0</v>
      </c>
      <c r="G93" s="343"/>
      <c r="H93" s="301"/>
      <c r="I93" s="301"/>
      <c r="J93" s="301"/>
      <c r="K93" s="327"/>
      <c r="L93" s="301"/>
      <c r="M93" s="346">
        <f>Beräkningar!AO17</f>
        <v>3</v>
      </c>
      <c r="N93" s="301"/>
      <c r="O93" s="301"/>
    </row>
    <row r="94" spans="1:15" ht="11.25" customHeight="1" x14ac:dyDescent="0.2">
      <c r="A94" s="332">
        <v>10</v>
      </c>
      <c r="B94" s="293"/>
      <c r="C94" s="347"/>
      <c r="D94" s="301"/>
      <c r="E94" s="329"/>
      <c r="G94" s="329"/>
      <c r="H94" s="301"/>
      <c r="I94" s="301"/>
      <c r="J94" s="301"/>
      <c r="K94" s="327"/>
      <c r="L94" s="301"/>
      <c r="N94" s="301"/>
      <c r="O94" s="301"/>
    </row>
    <row r="95" spans="1:15" ht="11.25" customHeight="1" x14ac:dyDescent="0.2">
      <c r="A95" s="292"/>
      <c r="B95" s="293"/>
      <c r="C95" s="308" t="str">
        <f>C31</f>
        <v>Grupp  D</v>
      </c>
      <c r="D95" s="309" t="s">
        <v>4</v>
      </c>
      <c r="E95" s="228" t="s">
        <v>2</v>
      </c>
      <c r="G95" s="301"/>
      <c r="H95" s="301"/>
      <c r="I95" s="301"/>
      <c r="J95" s="310" t="s">
        <v>265</v>
      </c>
      <c r="K95" s="327"/>
      <c r="L95" s="301"/>
      <c r="M95" s="313" t="s">
        <v>4</v>
      </c>
      <c r="N95" s="301"/>
      <c r="O95" s="301"/>
    </row>
    <row r="96" spans="1:15" ht="11.25" customHeight="1" x14ac:dyDescent="0.2">
      <c r="A96" s="149" t="s">
        <v>262</v>
      </c>
      <c r="B96" s="293"/>
      <c r="C96" s="339" t="str">
        <f>Beräkningar!N19</f>
        <v>Frankrike</v>
      </c>
      <c r="D96" s="88" t="s">
        <v>15</v>
      </c>
      <c r="E96" s="313">
        <f>IF(D96=M96,$A$80,0)</f>
        <v>0</v>
      </c>
      <c r="G96" s="340"/>
      <c r="H96" s="301"/>
      <c r="I96" s="301"/>
      <c r="J96" s="313">
        <f>IF(SUM(E96:E99)=$A$80*4,$A$81,0)</f>
        <v>0</v>
      </c>
      <c r="K96" s="327"/>
      <c r="L96" s="301"/>
      <c r="M96" s="341">
        <f>Beräkningar!AO19</f>
        <v>1</v>
      </c>
      <c r="N96" s="301"/>
      <c r="O96" s="301"/>
    </row>
    <row r="97" spans="1:15" ht="11.25" customHeight="1" x14ac:dyDescent="0.2">
      <c r="A97" s="332">
        <v>30</v>
      </c>
      <c r="B97" s="293"/>
      <c r="C97" s="342" t="str">
        <f>Beräkningar!N20</f>
        <v>Australien</v>
      </c>
      <c r="D97" s="88" t="s">
        <v>15</v>
      </c>
      <c r="E97" s="313">
        <f t="shared" ref="E97:E99" si="28">IF(D97=M97,$A$80,0)</f>
        <v>0</v>
      </c>
      <c r="G97" s="343"/>
      <c r="H97" s="301"/>
      <c r="I97" s="301"/>
      <c r="J97" s="301"/>
      <c r="K97" s="327"/>
      <c r="L97" s="301"/>
      <c r="M97" s="344">
        <f>Beräkningar!AO20</f>
        <v>4</v>
      </c>
      <c r="N97" s="301"/>
      <c r="O97" s="301"/>
    </row>
    <row r="98" spans="1:15" ht="11.25" customHeight="1" x14ac:dyDescent="0.2">
      <c r="A98" s="292"/>
      <c r="B98" s="293"/>
      <c r="C98" s="342" t="str">
        <f>Beräkningar!N21</f>
        <v>Danmark</v>
      </c>
      <c r="D98" s="88" t="s">
        <v>15</v>
      </c>
      <c r="E98" s="313">
        <f t="shared" si="28"/>
        <v>0</v>
      </c>
      <c r="G98" s="343"/>
      <c r="H98" s="301"/>
      <c r="I98" s="301"/>
      <c r="J98" s="301"/>
      <c r="K98" s="327"/>
      <c r="L98" s="301"/>
      <c r="M98" s="344">
        <f>Beräkningar!AO21</f>
        <v>2</v>
      </c>
      <c r="N98" s="301"/>
      <c r="O98" s="301"/>
    </row>
    <row r="99" spans="1:15" ht="11.25" customHeight="1" x14ac:dyDescent="0.2">
      <c r="A99" s="149" t="s">
        <v>263</v>
      </c>
      <c r="B99" s="293"/>
      <c r="C99" s="345" t="str">
        <f>Beräkningar!N22</f>
        <v>Tunisien</v>
      </c>
      <c r="D99" s="88" t="s">
        <v>15</v>
      </c>
      <c r="E99" s="313">
        <f t="shared" si="28"/>
        <v>0</v>
      </c>
      <c r="G99" s="343"/>
      <c r="H99" s="301"/>
      <c r="I99" s="301"/>
      <c r="J99" s="301"/>
      <c r="K99" s="327"/>
      <c r="L99" s="301"/>
      <c r="M99" s="346">
        <f>Beräkningar!AO22</f>
        <v>3</v>
      </c>
      <c r="N99" s="301"/>
      <c r="O99" s="301"/>
    </row>
    <row r="100" spans="1:15" ht="11.25" customHeight="1" x14ac:dyDescent="0.2">
      <c r="A100" s="332">
        <v>20</v>
      </c>
      <c r="B100" s="293"/>
      <c r="C100" s="325"/>
      <c r="D100" s="301"/>
      <c r="E100" s="329"/>
      <c r="F100" s="329"/>
      <c r="G100" s="329"/>
      <c r="H100" s="301"/>
      <c r="I100" s="301"/>
      <c r="J100" s="301"/>
      <c r="K100" s="327"/>
      <c r="L100" s="301"/>
      <c r="N100" s="301"/>
      <c r="O100" s="301"/>
    </row>
    <row r="101" spans="1:15" ht="11.25" customHeight="1" x14ac:dyDescent="0.2">
      <c r="A101" s="149"/>
      <c r="B101" s="293"/>
      <c r="C101" s="308" t="s">
        <v>19</v>
      </c>
      <c r="D101" s="309" t="s">
        <v>4</v>
      </c>
      <c r="E101" s="337" t="s">
        <v>2</v>
      </c>
      <c r="F101" s="301"/>
      <c r="G101" s="301"/>
      <c r="H101" s="301"/>
      <c r="I101" s="301"/>
      <c r="J101" s="310" t="s">
        <v>265</v>
      </c>
      <c r="K101" s="327"/>
      <c r="L101" s="301"/>
      <c r="M101" s="313" t="s">
        <v>4</v>
      </c>
      <c r="N101" s="301"/>
      <c r="O101" s="301"/>
    </row>
    <row r="102" spans="1:15" ht="11.25" customHeight="1" x14ac:dyDescent="0.2">
      <c r="A102" s="149" t="s">
        <v>264</v>
      </c>
      <c r="B102" s="293"/>
      <c r="C102" s="339" t="str">
        <f>Beräkningar!N24</f>
        <v>Spanien</v>
      </c>
      <c r="D102" s="88" t="s">
        <v>15</v>
      </c>
      <c r="E102" s="313">
        <f>IF(D102=M102,$A$80,0)</f>
        <v>0</v>
      </c>
      <c r="F102" s="340"/>
      <c r="G102" s="340"/>
      <c r="H102" s="301"/>
      <c r="I102" s="301"/>
      <c r="J102" s="313">
        <f>IF(SUM(E102:E105)=$A$80*4,$A$81,0)</f>
        <v>0</v>
      </c>
      <c r="K102" s="327"/>
      <c r="L102" s="301"/>
      <c r="M102" s="341">
        <f>Beräkningar!AO24</f>
        <v>2</v>
      </c>
      <c r="N102" s="301"/>
      <c r="O102" s="301"/>
    </row>
    <row r="103" spans="1:15" ht="11.25" customHeight="1" x14ac:dyDescent="0.2">
      <c r="A103" s="332">
        <v>20</v>
      </c>
      <c r="B103" s="293"/>
      <c r="C103" s="342" t="str">
        <f>Beräkningar!N25</f>
        <v>Costa Rica</v>
      </c>
      <c r="D103" s="88" t="s">
        <v>15</v>
      </c>
      <c r="E103" s="313">
        <f t="shared" ref="E103:E105" si="29">IF(D103=M103,$A$80,0)</f>
        <v>0</v>
      </c>
      <c r="F103" s="343"/>
      <c r="G103" s="343"/>
      <c r="H103" s="301"/>
      <c r="I103" s="301"/>
      <c r="J103" s="301"/>
      <c r="K103" s="327"/>
      <c r="L103" s="301"/>
      <c r="M103" s="344">
        <f>Beräkningar!AO25</f>
        <v>4</v>
      </c>
      <c r="N103" s="301"/>
      <c r="O103" s="301"/>
    </row>
    <row r="104" spans="1:15" ht="11.25" customHeight="1" x14ac:dyDescent="0.2">
      <c r="B104" s="293"/>
      <c r="C104" s="342" t="str">
        <f>Beräkningar!N26</f>
        <v>Tyskland</v>
      </c>
      <c r="D104" s="88" t="s">
        <v>15</v>
      </c>
      <c r="E104" s="313">
        <f t="shared" si="29"/>
        <v>0</v>
      </c>
      <c r="F104" s="343"/>
      <c r="G104" s="343"/>
      <c r="H104" s="301"/>
      <c r="I104" s="301"/>
      <c r="J104" s="301"/>
      <c r="K104" s="327"/>
      <c r="L104" s="301"/>
      <c r="M104" s="344">
        <f>Beräkningar!AO26</f>
        <v>1</v>
      </c>
      <c r="N104" s="301"/>
      <c r="O104" s="301"/>
    </row>
    <row r="105" spans="1:15" ht="11.25" customHeight="1" x14ac:dyDescent="0.2">
      <c r="A105" s="149" t="s">
        <v>305</v>
      </c>
      <c r="B105" s="293"/>
      <c r="C105" s="345" t="str">
        <f>Beräkningar!N27</f>
        <v>Japan</v>
      </c>
      <c r="D105" s="88" t="s">
        <v>15</v>
      </c>
      <c r="E105" s="313">
        <f t="shared" si="29"/>
        <v>0</v>
      </c>
      <c r="F105" s="343"/>
      <c r="G105" s="343"/>
      <c r="H105" s="301"/>
      <c r="I105" s="301"/>
      <c r="J105" s="301"/>
      <c r="K105" s="327"/>
      <c r="L105" s="301"/>
      <c r="M105" s="346">
        <f>Beräkningar!AO27</f>
        <v>3</v>
      </c>
      <c r="N105" s="301"/>
      <c r="O105" s="301"/>
    </row>
    <row r="106" spans="1:15" ht="11.25" customHeight="1" x14ac:dyDescent="0.2">
      <c r="A106" s="332">
        <v>5</v>
      </c>
      <c r="B106" s="293"/>
      <c r="C106" s="325"/>
      <c r="D106" s="301"/>
      <c r="E106" s="329"/>
      <c r="F106" s="329"/>
      <c r="G106" s="329"/>
      <c r="H106" s="301"/>
      <c r="I106" s="301"/>
      <c r="J106" s="301"/>
      <c r="K106" s="327"/>
      <c r="L106" s="301"/>
      <c r="N106" s="301"/>
      <c r="O106" s="301"/>
    </row>
    <row r="107" spans="1:15" ht="11.25" customHeight="1" x14ac:dyDescent="0.2">
      <c r="A107" s="165">
        <v>100</v>
      </c>
      <c r="B107" s="293"/>
      <c r="C107" s="308" t="s">
        <v>29</v>
      </c>
      <c r="D107" s="309" t="s">
        <v>4</v>
      </c>
      <c r="E107" s="228" t="s">
        <v>2</v>
      </c>
      <c r="F107" s="301"/>
      <c r="G107" s="301"/>
      <c r="H107" s="301"/>
      <c r="I107" s="301"/>
      <c r="J107" s="310" t="s">
        <v>265</v>
      </c>
      <c r="K107" s="327"/>
      <c r="L107" s="301"/>
      <c r="M107" s="313" t="s">
        <v>4</v>
      </c>
      <c r="N107" s="301"/>
      <c r="O107" s="301"/>
    </row>
    <row r="108" spans="1:15" ht="11.25" customHeight="1" x14ac:dyDescent="0.2">
      <c r="B108" s="293"/>
      <c r="C108" s="339" t="str">
        <f>Beräkningar!N29</f>
        <v>Belgien</v>
      </c>
      <c r="D108" s="88" t="s">
        <v>15</v>
      </c>
      <c r="E108" s="313">
        <f>IF(D108=M108,$A$80,0)</f>
        <v>0</v>
      </c>
      <c r="F108" s="340"/>
      <c r="G108" s="340"/>
      <c r="H108" s="301"/>
      <c r="I108" s="301"/>
      <c r="J108" s="313">
        <f>IF(SUM(E108:E111)=$A$80*4,$A$81,0)</f>
        <v>0</v>
      </c>
      <c r="K108" s="327"/>
      <c r="L108" s="301"/>
      <c r="M108" s="341">
        <f>Beräkningar!AO29</f>
        <v>1</v>
      </c>
      <c r="N108" s="301"/>
      <c r="O108" s="301"/>
    </row>
    <row r="109" spans="1:15" ht="11.25" customHeight="1" x14ac:dyDescent="0.2">
      <c r="B109" s="293"/>
      <c r="C109" s="342" t="str">
        <f>Beräkningar!N30</f>
        <v>Kanada</v>
      </c>
      <c r="D109" s="88" t="s">
        <v>15</v>
      </c>
      <c r="E109" s="313">
        <f t="shared" ref="E109:E111" si="30">IF(D109=M109,$A$80,0)</f>
        <v>0</v>
      </c>
      <c r="F109" s="343"/>
      <c r="G109" s="343"/>
      <c r="H109" s="301"/>
      <c r="I109" s="301"/>
      <c r="J109" s="301"/>
      <c r="K109" s="327"/>
      <c r="L109" s="301"/>
      <c r="M109" s="344">
        <f>Beräkningar!AO30</f>
        <v>4</v>
      </c>
      <c r="N109" s="301"/>
      <c r="O109" s="301"/>
    </row>
    <row r="110" spans="1:15" ht="11.25" customHeight="1" x14ac:dyDescent="0.2">
      <c r="B110" s="293"/>
      <c r="C110" s="342" t="str">
        <f>Beräkningar!N31</f>
        <v>Marocko</v>
      </c>
      <c r="D110" s="88" t="s">
        <v>15</v>
      </c>
      <c r="E110" s="313">
        <f t="shared" si="30"/>
        <v>0</v>
      </c>
      <c r="F110" s="343"/>
      <c r="G110" s="343"/>
      <c r="H110" s="301"/>
      <c r="I110" s="301"/>
      <c r="J110" s="301"/>
      <c r="K110" s="327"/>
      <c r="L110" s="301"/>
      <c r="M110" s="344">
        <f>Beräkningar!AO31</f>
        <v>3</v>
      </c>
      <c r="N110" s="301"/>
      <c r="O110" s="301"/>
    </row>
    <row r="111" spans="1:15" ht="11.25" customHeight="1" x14ac:dyDescent="0.2">
      <c r="B111" s="293"/>
      <c r="C111" s="345" t="str">
        <f>Beräkningar!N32</f>
        <v>Kroatien</v>
      </c>
      <c r="D111" s="88" t="s">
        <v>15</v>
      </c>
      <c r="E111" s="313">
        <f t="shared" si="30"/>
        <v>0</v>
      </c>
      <c r="F111" s="343"/>
      <c r="G111" s="343"/>
      <c r="H111" s="301"/>
      <c r="I111" s="301"/>
      <c r="J111" s="301"/>
      <c r="K111" s="327"/>
      <c r="L111" s="301"/>
      <c r="M111" s="346">
        <f>Beräkningar!AO32</f>
        <v>2</v>
      </c>
      <c r="N111" s="301"/>
      <c r="O111" s="301"/>
    </row>
    <row r="112" spans="1:15" ht="11.25" customHeight="1" x14ac:dyDescent="0.2">
      <c r="A112" s="292"/>
      <c r="B112" s="293"/>
      <c r="C112" s="325"/>
      <c r="D112" s="301"/>
      <c r="E112" s="329"/>
      <c r="F112" s="329"/>
      <c r="G112" s="329"/>
      <c r="H112" s="301"/>
      <c r="I112" s="301"/>
      <c r="J112" s="301"/>
      <c r="K112" s="327"/>
      <c r="L112" s="301"/>
      <c r="N112" s="301"/>
      <c r="O112" s="301"/>
    </row>
    <row r="113" spans="1:15" ht="11.25" customHeight="1" x14ac:dyDescent="0.2">
      <c r="A113" s="292"/>
      <c r="B113" s="293"/>
      <c r="C113" s="308" t="s">
        <v>156</v>
      </c>
      <c r="D113" s="309" t="s">
        <v>4</v>
      </c>
      <c r="E113" s="228" t="s">
        <v>2</v>
      </c>
      <c r="F113" s="301"/>
      <c r="G113" s="301"/>
      <c r="H113" s="301"/>
      <c r="I113" s="301"/>
      <c r="J113" s="310" t="s">
        <v>265</v>
      </c>
      <c r="K113" s="327"/>
      <c r="L113" s="301"/>
      <c r="M113" s="313" t="s">
        <v>4</v>
      </c>
      <c r="N113" s="301"/>
      <c r="O113" s="301"/>
    </row>
    <row r="114" spans="1:15" ht="11.25" customHeight="1" x14ac:dyDescent="0.2">
      <c r="A114" s="292"/>
      <c r="B114" s="293"/>
      <c r="C114" s="339" t="str">
        <f>Beräkningar!N34</f>
        <v>Brasilien</v>
      </c>
      <c r="D114" s="88" t="s">
        <v>15</v>
      </c>
      <c r="E114" s="313">
        <f>IF(D114=M114,$A$80,0)</f>
        <v>0</v>
      </c>
      <c r="F114" s="340"/>
      <c r="G114" s="340"/>
      <c r="H114" s="301"/>
      <c r="I114" s="301"/>
      <c r="J114" s="313">
        <f>IF(SUM(E114:E117)=$A$80*4,$A$81,0)</f>
        <v>0</v>
      </c>
      <c r="K114" s="327"/>
      <c r="L114" s="301"/>
      <c r="M114" s="341">
        <f>Beräkningar!AO34</f>
        <v>1</v>
      </c>
      <c r="N114" s="301"/>
      <c r="O114" s="301"/>
    </row>
    <row r="115" spans="1:15" ht="11.25" customHeight="1" x14ac:dyDescent="0.2">
      <c r="A115" s="292"/>
      <c r="B115" s="293"/>
      <c r="C115" s="342" t="str">
        <f>Beräkningar!N35</f>
        <v>Serbien</v>
      </c>
      <c r="D115" s="88" t="s">
        <v>15</v>
      </c>
      <c r="E115" s="313">
        <f t="shared" ref="E115:E117" si="31">IF(D115=M115,$A$80,0)</f>
        <v>0</v>
      </c>
      <c r="F115" s="343"/>
      <c r="G115" s="343"/>
      <c r="H115" s="301"/>
      <c r="I115" s="301"/>
      <c r="J115" s="301"/>
      <c r="K115" s="327"/>
      <c r="L115" s="301"/>
      <c r="M115" s="344">
        <f>Beräkningar!AO35</f>
        <v>4</v>
      </c>
      <c r="N115" s="301"/>
      <c r="O115" s="301"/>
    </row>
    <row r="116" spans="1:15" ht="11.25" customHeight="1" x14ac:dyDescent="0.2">
      <c r="A116" s="292"/>
      <c r="B116" s="293"/>
      <c r="C116" s="342" t="str">
        <f>Beräkningar!N36</f>
        <v>Schweiz</v>
      </c>
      <c r="D116" s="88" t="s">
        <v>15</v>
      </c>
      <c r="E116" s="313">
        <f t="shared" si="31"/>
        <v>0</v>
      </c>
      <c r="F116" s="343"/>
      <c r="G116" s="343"/>
      <c r="H116" s="301"/>
      <c r="I116" s="301"/>
      <c r="J116" s="301"/>
      <c r="K116" s="327"/>
      <c r="L116" s="301"/>
      <c r="M116" s="344">
        <f>Beräkningar!AO36</f>
        <v>3</v>
      </c>
      <c r="N116" s="301"/>
      <c r="O116" s="301"/>
    </row>
    <row r="117" spans="1:15" ht="11.25" customHeight="1" x14ac:dyDescent="0.2">
      <c r="A117" s="292"/>
      <c r="B117" s="293"/>
      <c r="C117" s="345" t="str">
        <f>Beräkningar!N37</f>
        <v>Kamerun</v>
      </c>
      <c r="D117" s="88" t="s">
        <v>15</v>
      </c>
      <c r="E117" s="313">
        <f t="shared" si="31"/>
        <v>0</v>
      </c>
      <c r="F117" s="343"/>
      <c r="G117" s="343"/>
      <c r="H117" s="301"/>
      <c r="I117" s="301"/>
      <c r="J117" s="301"/>
      <c r="K117" s="327"/>
      <c r="L117" s="301"/>
      <c r="M117" s="346">
        <f>Beräkningar!AO37</f>
        <v>2</v>
      </c>
      <c r="N117" s="301"/>
      <c r="O117" s="301"/>
    </row>
    <row r="118" spans="1:15" ht="11.25" customHeight="1" x14ac:dyDescent="0.2">
      <c r="A118" s="292"/>
      <c r="B118" s="293"/>
      <c r="C118" s="325"/>
      <c r="D118" s="301"/>
      <c r="E118" s="329"/>
      <c r="F118" s="329"/>
      <c r="G118" s="329"/>
      <c r="H118" s="301"/>
      <c r="I118" s="301"/>
      <c r="J118" s="301"/>
      <c r="K118" s="327"/>
      <c r="L118" s="301"/>
      <c r="M118" s="305"/>
      <c r="N118" s="301"/>
      <c r="O118" s="301"/>
    </row>
    <row r="119" spans="1:15" ht="11.25" customHeight="1" x14ac:dyDescent="0.2">
      <c r="A119" s="292"/>
      <c r="B119" s="293"/>
      <c r="C119" s="308" t="s">
        <v>249</v>
      </c>
      <c r="D119" s="309" t="s">
        <v>4</v>
      </c>
      <c r="E119" s="228" t="s">
        <v>2</v>
      </c>
      <c r="F119" s="301"/>
      <c r="G119" s="301"/>
      <c r="H119" s="301"/>
      <c r="I119" s="301"/>
      <c r="J119" s="310" t="s">
        <v>265</v>
      </c>
      <c r="K119" s="327"/>
      <c r="L119" s="301"/>
      <c r="M119" s="313" t="s">
        <v>4</v>
      </c>
      <c r="N119" s="301"/>
      <c r="O119" s="301"/>
    </row>
    <row r="120" spans="1:15" ht="11.25" customHeight="1" x14ac:dyDescent="0.2">
      <c r="A120" s="292"/>
      <c r="B120" s="293"/>
      <c r="C120" s="339" t="str">
        <f>Beräkningar!N39</f>
        <v>Portugal</v>
      </c>
      <c r="D120" s="88" t="s">
        <v>15</v>
      </c>
      <c r="E120" s="313">
        <f>IF(D120=M120,$A$80,0)</f>
        <v>0</v>
      </c>
      <c r="F120" s="340"/>
      <c r="G120" s="340"/>
      <c r="H120" s="301"/>
      <c r="I120" s="301"/>
      <c r="J120" s="313">
        <f>IF(SUM(E120:E123)=$A$80*4,$A$81,0)</f>
        <v>0</v>
      </c>
      <c r="K120" s="327"/>
      <c r="L120" s="301"/>
      <c r="M120" s="341">
        <f>Beräkningar!AO39</f>
        <v>1</v>
      </c>
      <c r="N120" s="301"/>
      <c r="O120" s="301"/>
    </row>
    <row r="121" spans="1:15" ht="11.25" customHeight="1" x14ac:dyDescent="0.2">
      <c r="A121" s="292"/>
      <c r="B121" s="293"/>
      <c r="C121" s="342" t="str">
        <f>Beräkningar!N40</f>
        <v>Ghana</v>
      </c>
      <c r="D121" s="88" t="s">
        <v>15</v>
      </c>
      <c r="E121" s="313">
        <f t="shared" ref="E121:E123" si="32">IF(D121=M121,$A$80,0)</f>
        <v>0</v>
      </c>
      <c r="F121" s="343"/>
      <c r="G121" s="343"/>
      <c r="H121" s="301"/>
      <c r="I121" s="301"/>
      <c r="J121" s="301"/>
      <c r="K121" s="327"/>
      <c r="L121" s="301"/>
      <c r="M121" s="344">
        <f>Beräkningar!AO40</f>
        <v>3</v>
      </c>
      <c r="N121" s="301"/>
      <c r="O121" s="301"/>
    </row>
    <row r="122" spans="1:15" ht="11.25" customHeight="1" x14ac:dyDescent="0.2">
      <c r="A122" s="292"/>
      <c r="B122" s="293"/>
      <c r="C122" s="342" t="str">
        <f>Beräkningar!N41</f>
        <v>Uruguay</v>
      </c>
      <c r="D122" s="88" t="s">
        <v>15</v>
      </c>
      <c r="E122" s="313">
        <f t="shared" si="32"/>
        <v>0</v>
      </c>
      <c r="F122" s="343"/>
      <c r="G122" s="343"/>
      <c r="H122" s="301"/>
      <c r="I122" s="301"/>
      <c r="J122" s="301"/>
      <c r="K122" s="327"/>
      <c r="L122" s="301"/>
      <c r="M122" s="344">
        <f>Beräkningar!AO41</f>
        <v>2</v>
      </c>
      <c r="N122" s="301"/>
      <c r="O122" s="301"/>
    </row>
    <row r="123" spans="1:15" ht="11.25" customHeight="1" x14ac:dyDescent="0.2">
      <c r="A123" s="292"/>
      <c r="B123" s="293"/>
      <c r="C123" s="345" t="str">
        <f>Beräkningar!N42</f>
        <v>Sydkorea</v>
      </c>
      <c r="D123" s="88" t="s">
        <v>15</v>
      </c>
      <c r="E123" s="313">
        <f t="shared" si="32"/>
        <v>0</v>
      </c>
      <c r="F123" s="343"/>
      <c r="G123" s="343"/>
      <c r="H123" s="301"/>
      <c r="I123" s="301"/>
      <c r="J123" s="301"/>
      <c r="K123" s="327"/>
      <c r="L123" s="301"/>
      <c r="M123" s="346">
        <f>Beräkningar!AO42</f>
        <v>4</v>
      </c>
      <c r="N123" s="301"/>
      <c r="O123" s="301"/>
    </row>
    <row r="124" spans="1:15" ht="11.25" customHeight="1" x14ac:dyDescent="0.2">
      <c r="A124" s="292"/>
      <c r="B124" s="293"/>
      <c r="C124" s="325"/>
      <c r="D124" s="301"/>
      <c r="E124" s="301"/>
      <c r="F124" s="329"/>
      <c r="G124" s="329"/>
      <c r="H124" s="301"/>
      <c r="I124" s="301"/>
      <c r="J124" s="301"/>
      <c r="K124" s="301"/>
      <c r="L124" s="301"/>
      <c r="M124" s="305"/>
      <c r="N124" s="301"/>
      <c r="O124" s="301"/>
    </row>
    <row r="125" spans="1:15" ht="11.25" customHeight="1" thickBot="1" x14ac:dyDescent="0.25">
      <c r="A125" s="292"/>
      <c r="B125" s="293"/>
      <c r="C125" s="330" t="s">
        <v>5</v>
      </c>
      <c r="D125" s="330"/>
      <c r="E125" s="331">
        <f>SUM(E78:E81,E84:E87,E90:E93,E96:E99,E102:E105,E108:E111,E114:E117,E120:E123)</f>
        <v>0</v>
      </c>
      <c r="F125" s="330"/>
      <c r="G125" s="330"/>
      <c r="H125" s="331"/>
      <c r="I125" s="330"/>
      <c r="J125" s="331">
        <f>J78+J84+J90+J96+J102+J108+J114+J120</f>
        <v>0</v>
      </c>
      <c r="K125" s="301"/>
      <c r="L125" s="301"/>
      <c r="M125" s="305"/>
      <c r="N125" s="301"/>
      <c r="O125" s="301"/>
    </row>
    <row r="126" spans="1:15" ht="11.25" customHeight="1" thickTop="1" x14ac:dyDescent="0.2">
      <c r="A126" s="292"/>
      <c r="B126" s="293"/>
      <c r="C126" s="325"/>
      <c r="D126" s="301"/>
      <c r="E126" s="301"/>
      <c r="F126" s="329"/>
      <c r="G126" s="329"/>
      <c r="H126" s="301"/>
      <c r="I126" s="301"/>
      <c r="J126" s="301"/>
      <c r="K126" s="301"/>
      <c r="L126" s="301"/>
      <c r="M126" s="305"/>
      <c r="N126" s="301"/>
      <c r="O126" s="301"/>
    </row>
    <row r="127" spans="1:15" ht="11.25" customHeight="1" x14ac:dyDescent="0.2">
      <c r="A127" s="292"/>
      <c r="B127" s="293"/>
      <c r="C127" s="263" t="s">
        <v>302</v>
      </c>
      <c r="D127" s="265"/>
      <c r="E127" s="265"/>
      <c r="F127" s="266"/>
      <c r="G127" s="266"/>
      <c r="H127" s="265"/>
      <c r="I127" s="265"/>
      <c r="J127" s="265"/>
      <c r="K127" s="265"/>
      <c r="L127" s="265"/>
      <c r="M127" s="300"/>
      <c r="N127" s="265"/>
      <c r="O127" s="301"/>
    </row>
    <row r="128" spans="1:15" ht="11.25" customHeight="1" x14ac:dyDescent="0.2">
      <c r="A128" s="292"/>
      <c r="B128" s="293"/>
      <c r="C128" s="268" t="s">
        <v>303</v>
      </c>
      <c r="D128" s="270"/>
      <c r="E128" s="270"/>
      <c r="F128" s="281"/>
      <c r="G128" s="281"/>
      <c r="H128" s="270"/>
      <c r="I128" s="270"/>
      <c r="J128" s="270"/>
      <c r="K128" s="270"/>
      <c r="L128" s="270"/>
      <c r="M128" s="302"/>
      <c r="N128" s="270"/>
      <c r="O128" s="301"/>
    </row>
    <row r="129" spans="1:15" ht="11.25" customHeight="1" x14ac:dyDescent="0.2">
      <c r="A129" s="292"/>
      <c r="B129" s="293"/>
      <c r="C129" s="325"/>
      <c r="D129" s="301"/>
      <c r="E129" s="301"/>
      <c r="F129" s="329"/>
      <c r="G129" s="329"/>
      <c r="H129" s="301"/>
      <c r="I129" s="301"/>
      <c r="J129" s="301"/>
      <c r="K129" s="301"/>
      <c r="L129" s="301"/>
      <c r="M129" s="305"/>
      <c r="N129" s="301"/>
      <c r="O129" s="301"/>
    </row>
    <row r="130" spans="1:15" ht="11.25" customHeight="1" x14ac:dyDescent="0.2">
      <c r="A130" s="292"/>
      <c r="B130" s="293"/>
      <c r="C130" s="333" t="s">
        <v>289</v>
      </c>
      <c r="D130" s="333"/>
      <c r="E130" s="333"/>
      <c r="F130" s="333"/>
      <c r="G130" s="333"/>
      <c r="H130" s="333"/>
      <c r="I130" s="333"/>
      <c r="J130" s="333"/>
      <c r="K130" s="301"/>
      <c r="L130" s="333"/>
      <c r="M130" s="334" t="s">
        <v>271</v>
      </c>
      <c r="N130" s="333"/>
      <c r="O130" s="301"/>
    </row>
    <row r="131" spans="1:15" ht="11.25" customHeight="1" x14ac:dyDescent="0.2">
      <c r="A131" s="292"/>
      <c r="B131" s="293"/>
      <c r="C131" s="349"/>
      <c r="D131" s="313" t="s">
        <v>10</v>
      </c>
      <c r="E131" s="228" t="s">
        <v>2</v>
      </c>
      <c r="F131" s="329"/>
      <c r="G131" s="329"/>
      <c r="H131" s="350"/>
      <c r="I131" s="301"/>
      <c r="J131" s="310" t="s">
        <v>265</v>
      </c>
      <c r="K131" s="301"/>
      <c r="L131" s="301"/>
      <c r="M131" s="313" t="s">
        <v>10</v>
      </c>
      <c r="N131" s="301"/>
      <c r="O131" s="301"/>
    </row>
    <row r="132" spans="1:15" ht="11.25" customHeight="1" x14ac:dyDescent="0.2">
      <c r="A132" s="292"/>
      <c r="B132" s="293"/>
      <c r="C132" s="349"/>
      <c r="D132" s="341">
        <f>Beräkningar!L106</f>
        <v>0</v>
      </c>
      <c r="E132" s="313">
        <f>IFERROR(IF(MATCH(D132,$M$132:$M$147,0)&gt;0,$A$106,0),0)</f>
        <v>0</v>
      </c>
      <c r="F132" s="329"/>
      <c r="G132" s="329"/>
      <c r="H132" s="301"/>
      <c r="I132" s="301"/>
      <c r="J132" s="313">
        <f>IF(SUM(E132:E147)=$A$106*16,$A$107,0)</f>
        <v>0</v>
      </c>
      <c r="K132" s="301"/>
      <c r="L132" s="301"/>
      <c r="M132" s="341" t="str">
        <f>Beräkningar!L85</f>
        <v>Nederländerna</v>
      </c>
      <c r="N132" s="301"/>
      <c r="O132" s="301"/>
    </row>
    <row r="133" spans="1:15" ht="11.25" customHeight="1" x14ac:dyDescent="0.2">
      <c r="A133" s="292"/>
      <c r="B133" s="293"/>
      <c r="C133" s="349"/>
      <c r="D133" s="344">
        <f>Beräkningar!L107</f>
        <v>0</v>
      </c>
      <c r="E133" s="313">
        <f t="shared" ref="E133:E147" si="33">IFERROR(IF(MATCH(D133,$M$132:$M$147,0)&gt;0,$A$106,0),0)</f>
        <v>0</v>
      </c>
      <c r="F133" s="329"/>
      <c r="G133" s="329"/>
      <c r="H133" s="301"/>
      <c r="I133" s="301"/>
      <c r="J133" s="301"/>
      <c r="K133" s="301"/>
      <c r="L133" s="301"/>
      <c r="M133" s="344" t="str">
        <f>Beräkningar!L86</f>
        <v>USA</v>
      </c>
      <c r="N133" s="301"/>
      <c r="O133" s="301"/>
    </row>
    <row r="134" spans="1:15" ht="11.25" customHeight="1" x14ac:dyDescent="0.2">
      <c r="A134" s="292"/>
      <c r="B134" s="293"/>
      <c r="C134" s="349"/>
      <c r="D134" s="344">
        <f>Beräkningar!L108</f>
        <v>0</v>
      </c>
      <c r="E134" s="313">
        <f t="shared" si="33"/>
        <v>0</v>
      </c>
      <c r="F134" s="329"/>
      <c r="G134" s="329"/>
      <c r="H134" s="301"/>
      <c r="I134" s="301"/>
      <c r="J134" s="301"/>
      <c r="K134" s="301"/>
      <c r="L134" s="301"/>
      <c r="M134" s="344" t="str">
        <f>Beräkningar!L87</f>
        <v>Argentina</v>
      </c>
      <c r="N134" s="301"/>
      <c r="O134" s="301"/>
    </row>
    <row r="135" spans="1:15" ht="11.25" customHeight="1" x14ac:dyDescent="0.2">
      <c r="A135" s="292"/>
      <c r="B135" s="293"/>
      <c r="C135" s="349"/>
      <c r="D135" s="344">
        <f>Beräkningar!L109</f>
        <v>0</v>
      </c>
      <c r="E135" s="313">
        <f t="shared" si="33"/>
        <v>0</v>
      </c>
      <c r="F135" s="329"/>
      <c r="G135" s="329"/>
      <c r="H135" s="301"/>
      <c r="I135" s="301"/>
      <c r="J135" s="301"/>
      <c r="K135" s="301"/>
      <c r="L135" s="301"/>
      <c r="M135" s="344" t="str">
        <f>Beräkningar!L88</f>
        <v>Danmark</v>
      </c>
      <c r="N135" s="301"/>
      <c r="O135" s="301"/>
    </row>
    <row r="136" spans="1:15" ht="11.25" customHeight="1" x14ac:dyDescent="0.2">
      <c r="A136" s="292"/>
      <c r="B136" s="293"/>
      <c r="C136" s="349"/>
      <c r="D136" s="344">
        <f>Beräkningar!L110</f>
        <v>0</v>
      </c>
      <c r="E136" s="313">
        <f t="shared" si="33"/>
        <v>0</v>
      </c>
      <c r="F136" s="329"/>
      <c r="G136" s="329"/>
      <c r="H136" s="301"/>
      <c r="I136" s="301"/>
      <c r="J136" s="301"/>
      <c r="K136" s="301"/>
      <c r="L136" s="301"/>
      <c r="M136" s="344" t="str">
        <f>Beräkningar!L89</f>
        <v>England</v>
      </c>
      <c r="N136" s="301"/>
      <c r="O136" s="301"/>
    </row>
    <row r="137" spans="1:15" ht="11.25" customHeight="1" x14ac:dyDescent="0.2">
      <c r="A137" s="292"/>
      <c r="B137" s="293"/>
      <c r="C137" s="349"/>
      <c r="D137" s="344">
        <f>Beräkningar!L111</f>
        <v>0</v>
      </c>
      <c r="E137" s="313">
        <f t="shared" si="33"/>
        <v>0</v>
      </c>
      <c r="F137" s="329"/>
      <c r="G137" s="329"/>
      <c r="H137" s="301"/>
      <c r="I137" s="301"/>
      <c r="J137" s="301"/>
      <c r="K137" s="301"/>
      <c r="L137" s="301"/>
      <c r="M137" s="344" t="str">
        <f>Beräkningar!L90</f>
        <v>Senegal</v>
      </c>
      <c r="N137" s="301"/>
      <c r="O137" s="301"/>
    </row>
    <row r="138" spans="1:15" ht="11.25" customHeight="1" x14ac:dyDescent="0.2">
      <c r="A138" s="292"/>
      <c r="B138" s="293"/>
      <c r="C138" s="349"/>
      <c r="D138" s="344">
        <f>Beräkningar!L112</f>
        <v>0</v>
      </c>
      <c r="E138" s="313">
        <f t="shared" si="33"/>
        <v>0</v>
      </c>
      <c r="F138" s="329"/>
      <c r="G138" s="329"/>
      <c r="H138" s="301"/>
      <c r="I138" s="301"/>
      <c r="J138" s="301"/>
      <c r="K138" s="301"/>
      <c r="L138" s="301"/>
      <c r="M138" s="344" t="str">
        <f>Beräkningar!L91</f>
        <v>Frankrike</v>
      </c>
      <c r="N138" s="301"/>
      <c r="O138" s="301"/>
    </row>
    <row r="139" spans="1:15" ht="11.25" customHeight="1" x14ac:dyDescent="0.2">
      <c r="A139" s="292"/>
      <c r="B139" s="293"/>
      <c r="C139" s="349"/>
      <c r="D139" s="344">
        <f>Beräkningar!L113</f>
        <v>0</v>
      </c>
      <c r="E139" s="313">
        <f t="shared" si="33"/>
        <v>0</v>
      </c>
      <c r="F139" s="329"/>
      <c r="G139" s="329"/>
      <c r="H139" s="301"/>
      <c r="I139" s="301"/>
      <c r="J139" s="301"/>
      <c r="K139" s="301"/>
      <c r="L139" s="301"/>
      <c r="M139" s="344" t="str">
        <f>Beräkningar!L92</f>
        <v>Mexiko</v>
      </c>
      <c r="N139" s="301"/>
      <c r="O139" s="301"/>
    </row>
    <row r="140" spans="1:15" ht="11.25" customHeight="1" x14ac:dyDescent="0.2">
      <c r="A140" s="292"/>
      <c r="B140" s="293"/>
      <c r="C140" s="349"/>
      <c r="D140" s="344">
        <f>Beräkningar!L114</f>
        <v>0</v>
      </c>
      <c r="E140" s="313">
        <f t="shared" si="33"/>
        <v>0</v>
      </c>
      <c r="F140" s="329"/>
      <c r="G140" s="329"/>
      <c r="H140" s="301"/>
      <c r="I140" s="301"/>
      <c r="J140" s="301"/>
      <c r="K140" s="301"/>
      <c r="L140" s="301"/>
      <c r="M140" s="344" t="str">
        <f>Beräkningar!L93</f>
        <v>Tyskland</v>
      </c>
      <c r="N140" s="301"/>
      <c r="O140" s="301"/>
    </row>
    <row r="141" spans="1:15" ht="11.25" customHeight="1" x14ac:dyDescent="0.2">
      <c r="A141" s="292"/>
      <c r="B141" s="293"/>
      <c r="C141" s="349"/>
      <c r="D141" s="344">
        <f>Beräkningar!L115</f>
        <v>0</v>
      </c>
      <c r="E141" s="313">
        <f t="shared" si="33"/>
        <v>0</v>
      </c>
      <c r="F141" s="329"/>
      <c r="G141" s="329"/>
      <c r="H141" s="301"/>
      <c r="I141" s="301"/>
      <c r="J141" s="301"/>
      <c r="K141" s="301"/>
      <c r="L141" s="301"/>
      <c r="M141" s="344" t="str">
        <f>Beräkningar!L94</f>
        <v>Kroatien</v>
      </c>
      <c r="N141" s="301"/>
      <c r="O141" s="301"/>
    </row>
    <row r="142" spans="1:15" ht="11.25" customHeight="1" x14ac:dyDescent="0.2">
      <c r="A142" s="292"/>
      <c r="B142" s="293"/>
      <c r="C142" s="349"/>
      <c r="D142" s="344">
        <f>Beräkningar!L116</f>
        <v>0</v>
      </c>
      <c r="E142" s="313">
        <f t="shared" si="33"/>
        <v>0</v>
      </c>
      <c r="F142" s="329"/>
      <c r="G142" s="329"/>
      <c r="H142" s="301"/>
      <c r="I142" s="301"/>
      <c r="J142" s="301"/>
      <c r="K142" s="301"/>
      <c r="L142" s="301"/>
      <c r="M142" s="344" t="str">
        <f>Beräkningar!L95</f>
        <v>Brasilien</v>
      </c>
      <c r="N142" s="301"/>
      <c r="O142" s="301"/>
    </row>
    <row r="143" spans="1:15" ht="11.25" customHeight="1" x14ac:dyDescent="0.2">
      <c r="A143" s="292"/>
      <c r="B143" s="293"/>
      <c r="C143" s="349"/>
      <c r="D143" s="344">
        <f>Beräkningar!L117</f>
        <v>0</v>
      </c>
      <c r="E143" s="313">
        <f t="shared" si="33"/>
        <v>0</v>
      </c>
      <c r="F143" s="329"/>
      <c r="G143" s="329"/>
      <c r="H143" s="301"/>
      <c r="I143" s="301"/>
      <c r="J143" s="301"/>
      <c r="K143" s="301"/>
      <c r="L143" s="301"/>
      <c r="M143" s="344" t="str">
        <f>Beräkningar!L96</f>
        <v>Uruguay</v>
      </c>
      <c r="N143" s="301"/>
      <c r="O143" s="301"/>
    </row>
    <row r="144" spans="1:15" ht="11.25" customHeight="1" x14ac:dyDescent="0.2">
      <c r="A144" s="292"/>
      <c r="B144" s="293"/>
      <c r="C144" s="325"/>
      <c r="D144" s="344">
        <f>Beräkningar!L118</f>
        <v>0</v>
      </c>
      <c r="E144" s="313">
        <f t="shared" si="33"/>
        <v>0</v>
      </c>
      <c r="F144" s="329"/>
      <c r="G144" s="329"/>
      <c r="H144" s="301"/>
      <c r="I144" s="301"/>
      <c r="J144" s="301"/>
      <c r="K144" s="301"/>
      <c r="L144" s="301"/>
      <c r="M144" s="344" t="str">
        <f>Beräkningar!L97</f>
        <v>Belgien</v>
      </c>
      <c r="N144" s="301"/>
      <c r="O144" s="301"/>
    </row>
    <row r="145" spans="1:15" ht="11.25" customHeight="1" x14ac:dyDescent="0.2">
      <c r="A145" s="292"/>
      <c r="B145" s="293"/>
      <c r="C145" s="325"/>
      <c r="D145" s="344">
        <f>Beräkningar!L119</f>
        <v>0</v>
      </c>
      <c r="E145" s="313">
        <f t="shared" si="33"/>
        <v>0</v>
      </c>
      <c r="F145" s="329"/>
      <c r="G145" s="329"/>
      <c r="H145" s="301"/>
      <c r="I145" s="301"/>
      <c r="J145" s="301"/>
      <c r="K145" s="301"/>
      <c r="L145" s="301"/>
      <c r="M145" s="344" t="str">
        <f>Beräkningar!L98</f>
        <v>Spanien</v>
      </c>
      <c r="N145" s="301"/>
      <c r="O145" s="301"/>
    </row>
    <row r="146" spans="1:15" ht="11.25" customHeight="1" x14ac:dyDescent="0.2">
      <c r="A146" s="292"/>
      <c r="B146" s="293"/>
      <c r="C146" s="325"/>
      <c r="D146" s="344">
        <f>Beräkningar!L120</f>
        <v>0</v>
      </c>
      <c r="E146" s="313">
        <f t="shared" si="33"/>
        <v>0</v>
      </c>
      <c r="F146" s="329"/>
      <c r="G146" s="329"/>
      <c r="H146" s="301"/>
      <c r="I146" s="301"/>
      <c r="J146" s="301"/>
      <c r="K146" s="301"/>
      <c r="L146" s="301"/>
      <c r="M146" s="344" t="str">
        <f>Beräkningar!L99</f>
        <v>Portugal</v>
      </c>
      <c r="N146" s="301"/>
      <c r="O146" s="301"/>
    </row>
    <row r="147" spans="1:15" ht="11.25" customHeight="1" x14ac:dyDescent="0.2">
      <c r="A147" s="292"/>
      <c r="B147" s="293"/>
      <c r="C147" s="325"/>
      <c r="D147" s="346">
        <f>Beräkningar!L121</f>
        <v>0</v>
      </c>
      <c r="E147" s="313">
        <f t="shared" si="33"/>
        <v>0</v>
      </c>
      <c r="F147" s="329"/>
      <c r="G147" s="329"/>
      <c r="H147" s="301"/>
      <c r="I147" s="301"/>
      <c r="J147" s="301"/>
      <c r="K147" s="301"/>
      <c r="L147" s="301"/>
      <c r="M147" s="346" t="str">
        <f>Beräkningar!L100</f>
        <v>Kamerun</v>
      </c>
      <c r="N147" s="301"/>
      <c r="O147" s="301"/>
    </row>
    <row r="148" spans="1:15" ht="11.25" customHeight="1" x14ac:dyDescent="0.2">
      <c r="A148" s="292"/>
      <c r="B148" s="293"/>
      <c r="C148" s="325"/>
      <c r="D148" s="301"/>
      <c r="E148" s="301"/>
      <c r="F148" s="329"/>
      <c r="G148" s="329"/>
      <c r="H148" s="301"/>
      <c r="I148" s="301"/>
      <c r="J148" s="301"/>
      <c r="K148" s="301"/>
      <c r="L148" s="301"/>
      <c r="M148" s="305"/>
      <c r="N148" s="301"/>
      <c r="O148" s="301"/>
    </row>
    <row r="149" spans="1:15" ht="11.25" customHeight="1" thickBot="1" x14ac:dyDescent="0.25">
      <c r="A149" s="292"/>
      <c r="B149" s="293"/>
      <c r="C149" s="330" t="s">
        <v>5</v>
      </c>
      <c r="D149" s="330"/>
      <c r="E149" s="331">
        <f>SUM(E132:E147)</f>
        <v>0</v>
      </c>
      <c r="F149" s="330"/>
      <c r="G149" s="330"/>
      <c r="H149" s="331"/>
      <c r="I149" s="330"/>
      <c r="J149" s="331">
        <f>J132</f>
        <v>0</v>
      </c>
      <c r="K149" s="301"/>
      <c r="L149" s="301"/>
      <c r="M149" s="305"/>
      <c r="N149" s="301"/>
      <c r="O149" s="301"/>
    </row>
    <row r="150" spans="1:15" ht="11.25" customHeight="1" thickTop="1" x14ac:dyDescent="0.2">
      <c r="A150" s="292"/>
      <c r="B150" s="293"/>
      <c r="C150" s="325"/>
      <c r="D150" s="301"/>
      <c r="E150" s="301"/>
      <c r="F150" s="329"/>
      <c r="G150" s="329"/>
      <c r="H150" s="301"/>
      <c r="I150" s="301"/>
      <c r="J150" s="301"/>
      <c r="K150" s="301"/>
      <c r="L150" s="301"/>
      <c r="M150" s="305"/>
      <c r="N150" s="301"/>
      <c r="O150" s="301"/>
    </row>
    <row r="151" spans="1:15" ht="11.25" customHeight="1" x14ac:dyDescent="0.2">
      <c r="A151" s="292"/>
      <c r="B151" s="293"/>
      <c r="C151" s="263" t="s">
        <v>306</v>
      </c>
      <c r="D151" s="265"/>
      <c r="E151" s="265"/>
      <c r="F151" s="266"/>
      <c r="G151" s="266"/>
      <c r="H151" s="265"/>
      <c r="I151" s="265"/>
      <c r="J151" s="265"/>
      <c r="K151" s="265"/>
      <c r="L151" s="265"/>
      <c r="M151" s="300"/>
      <c r="N151" s="265"/>
      <c r="O151" s="301"/>
    </row>
    <row r="152" spans="1:15" ht="11.25" customHeight="1" x14ac:dyDescent="0.2">
      <c r="A152" s="292"/>
      <c r="B152" s="293"/>
      <c r="C152" s="268" t="s">
        <v>292</v>
      </c>
      <c r="D152" s="270"/>
      <c r="E152" s="270"/>
      <c r="F152" s="281"/>
      <c r="G152" s="281"/>
      <c r="H152" s="270"/>
      <c r="I152" s="270"/>
      <c r="J152" s="270"/>
      <c r="K152" s="270"/>
      <c r="L152" s="270"/>
      <c r="M152" s="302"/>
      <c r="N152" s="270"/>
      <c r="O152" s="301"/>
    </row>
    <row r="153" spans="1:15" ht="11.25" customHeight="1" x14ac:dyDescent="0.2">
      <c r="A153" s="292"/>
      <c r="B153" s="293"/>
      <c r="C153" s="325"/>
      <c r="D153" s="301"/>
      <c r="E153" s="301"/>
      <c r="F153" s="329"/>
      <c r="G153" s="329"/>
      <c r="H153" s="301"/>
      <c r="I153" s="301"/>
      <c r="J153" s="301"/>
      <c r="K153" s="301"/>
      <c r="L153" s="301"/>
      <c r="M153" s="305"/>
      <c r="N153" s="301"/>
      <c r="O153" s="301"/>
    </row>
    <row r="154" spans="1:15" ht="11.25" customHeight="1" x14ac:dyDescent="0.2">
      <c r="A154" s="292"/>
      <c r="B154" s="293"/>
      <c r="C154" s="333" t="s">
        <v>289</v>
      </c>
      <c r="D154" s="333"/>
      <c r="E154" s="333"/>
      <c r="F154" s="333"/>
      <c r="G154" s="333"/>
      <c r="H154" s="333"/>
      <c r="I154" s="333"/>
      <c r="J154" s="333"/>
      <c r="K154" s="301"/>
      <c r="L154" s="333"/>
      <c r="M154" s="334" t="s">
        <v>271</v>
      </c>
      <c r="N154" s="333"/>
      <c r="O154" s="301"/>
    </row>
    <row r="155" spans="1:15" ht="11.25" customHeight="1" x14ac:dyDescent="0.2">
      <c r="A155" s="292"/>
      <c r="B155" s="293"/>
      <c r="C155" s="349"/>
      <c r="D155" s="228" t="s">
        <v>10</v>
      </c>
      <c r="E155" s="228" t="s">
        <v>2</v>
      </c>
      <c r="F155" s="329"/>
      <c r="G155" s="329"/>
      <c r="H155" s="350"/>
      <c r="I155" s="301"/>
      <c r="J155" s="310" t="s">
        <v>265</v>
      </c>
      <c r="K155" s="327"/>
      <c r="L155" s="301"/>
      <c r="M155" s="313" t="s">
        <v>10</v>
      </c>
      <c r="N155" s="301"/>
      <c r="O155" s="301"/>
    </row>
    <row r="156" spans="1:15" ht="11.25" customHeight="1" x14ac:dyDescent="0.2">
      <c r="A156" s="292"/>
      <c r="B156" s="293"/>
      <c r="C156" s="349"/>
      <c r="D156" s="88" t="s">
        <v>13</v>
      </c>
      <c r="E156" s="313">
        <f>IFERROR(IF(MATCH(D156,$M$156:$M$163,0)&gt;0,$A$83,0),0)</f>
        <v>0</v>
      </c>
      <c r="F156" s="329"/>
      <c r="G156" s="329"/>
      <c r="H156" s="301"/>
      <c r="I156" s="301"/>
      <c r="J156" s="313">
        <f>IF(SUM(E156:E163)=$A$83*8,$A$84,0)</f>
        <v>0</v>
      </c>
      <c r="K156" s="327"/>
      <c r="L156" s="301"/>
      <c r="M156" s="341" t="str">
        <f>Beräkningar!N85</f>
        <v>Nederländerna</v>
      </c>
      <c r="N156" s="301"/>
      <c r="O156" s="301"/>
    </row>
    <row r="157" spans="1:15" ht="11.25" customHeight="1" x14ac:dyDescent="0.2">
      <c r="A157" s="292"/>
      <c r="B157" s="293"/>
      <c r="C157" s="349"/>
      <c r="D157" s="88" t="s">
        <v>13</v>
      </c>
      <c r="E157" s="313">
        <f t="shared" ref="E157:E163" si="34">IFERROR(IF(MATCH(D157,$M$156:$M$163,0)&gt;0,$A$83,0),0)</f>
        <v>0</v>
      </c>
      <c r="F157" s="329"/>
      <c r="G157" s="329"/>
      <c r="H157" s="301"/>
      <c r="I157" s="301"/>
      <c r="J157" s="301"/>
      <c r="K157" s="327"/>
      <c r="L157" s="301"/>
      <c r="M157" s="344" t="str">
        <f>Beräkningar!N86</f>
        <v>Argentina</v>
      </c>
      <c r="N157" s="301"/>
      <c r="O157" s="301"/>
    </row>
    <row r="158" spans="1:15" ht="11.25" customHeight="1" x14ac:dyDescent="0.2">
      <c r="A158" s="292"/>
      <c r="B158" s="293"/>
      <c r="C158" s="349"/>
      <c r="D158" s="88" t="s">
        <v>13</v>
      </c>
      <c r="E158" s="313">
        <f t="shared" si="34"/>
        <v>0</v>
      </c>
      <c r="F158" s="329"/>
      <c r="G158" s="329"/>
      <c r="H158" s="301"/>
      <c r="I158" s="301"/>
      <c r="J158" s="301"/>
      <c r="K158" s="327"/>
      <c r="L158" s="301"/>
      <c r="M158" s="344" t="str">
        <f>Beräkningar!N87</f>
        <v>England</v>
      </c>
      <c r="N158" s="301"/>
      <c r="O158" s="301"/>
    </row>
    <row r="159" spans="1:15" ht="11.25" customHeight="1" x14ac:dyDescent="0.2">
      <c r="A159" s="292"/>
      <c r="B159" s="293"/>
      <c r="C159" s="349"/>
      <c r="D159" s="88" t="s">
        <v>13</v>
      </c>
      <c r="E159" s="313">
        <f t="shared" si="34"/>
        <v>0</v>
      </c>
      <c r="F159" s="329"/>
      <c r="G159" s="329"/>
      <c r="H159" s="301"/>
      <c r="I159" s="301"/>
      <c r="J159" s="301"/>
      <c r="K159" s="327"/>
      <c r="L159" s="301"/>
      <c r="M159" s="344" t="str">
        <f>Beräkningar!N88</f>
        <v>Frankrike</v>
      </c>
      <c r="N159" s="301"/>
      <c r="O159" s="301"/>
    </row>
    <row r="160" spans="1:15" ht="11.25" customHeight="1" x14ac:dyDescent="0.2">
      <c r="A160" s="292"/>
      <c r="B160" s="293"/>
      <c r="C160" s="325"/>
      <c r="D160" s="88" t="s">
        <v>13</v>
      </c>
      <c r="E160" s="313">
        <f t="shared" si="34"/>
        <v>0</v>
      </c>
      <c r="F160" s="329"/>
      <c r="G160" s="329"/>
      <c r="H160" s="301"/>
      <c r="I160" s="301"/>
      <c r="J160" s="301"/>
      <c r="K160" s="327"/>
      <c r="L160" s="301"/>
      <c r="M160" s="344" t="str">
        <f>Beräkningar!N89</f>
        <v>Tyskland</v>
      </c>
      <c r="N160" s="301"/>
      <c r="O160" s="301"/>
    </row>
    <row r="161" spans="1:15" ht="11.25" customHeight="1" x14ac:dyDescent="0.2">
      <c r="A161" s="292"/>
      <c r="B161" s="293"/>
      <c r="C161" s="325"/>
      <c r="D161" s="88" t="s">
        <v>13</v>
      </c>
      <c r="E161" s="313">
        <f t="shared" si="34"/>
        <v>0</v>
      </c>
      <c r="F161" s="329"/>
      <c r="G161" s="329"/>
      <c r="H161" s="301"/>
      <c r="I161" s="301"/>
      <c r="J161" s="301"/>
      <c r="K161" s="327"/>
      <c r="L161" s="301"/>
      <c r="M161" s="344" t="str">
        <f>Beräkningar!N90</f>
        <v>Brasilien</v>
      </c>
      <c r="N161" s="301"/>
      <c r="O161" s="301"/>
    </row>
    <row r="162" spans="1:15" ht="11.25" customHeight="1" x14ac:dyDescent="0.2">
      <c r="A162" s="292"/>
      <c r="B162" s="293"/>
      <c r="C162" s="325"/>
      <c r="D162" s="88" t="s">
        <v>13</v>
      </c>
      <c r="E162" s="313">
        <f t="shared" si="34"/>
        <v>0</v>
      </c>
      <c r="F162" s="329"/>
      <c r="G162" s="329"/>
      <c r="H162" s="301"/>
      <c r="I162" s="301"/>
      <c r="J162" s="301"/>
      <c r="K162" s="327"/>
      <c r="L162" s="301"/>
      <c r="M162" s="344" t="str">
        <f>Beräkningar!N91</f>
        <v>Spanien</v>
      </c>
      <c r="N162" s="301"/>
      <c r="O162" s="301"/>
    </row>
    <row r="163" spans="1:15" ht="11.25" customHeight="1" x14ac:dyDescent="0.2">
      <c r="A163" s="292"/>
      <c r="B163" s="293"/>
      <c r="C163" s="325"/>
      <c r="D163" s="88" t="s">
        <v>13</v>
      </c>
      <c r="E163" s="313">
        <f t="shared" si="34"/>
        <v>0</v>
      </c>
      <c r="F163" s="329"/>
      <c r="G163" s="329"/>
      <c r="H163" s="301"/>
      <c r="I163" s="301"/>
      <c r="J163" s="301"/>
      <c r="K163" s="301"/>
      <c r="L163" s="301"/>
      <c r="M163" s="346" t="str">
        <f>Beräkningar!N92</f>
        <v>Portugal</v>
      </c>
      <c r="N163" s="301"/>
      <c r="O163" s="301"/>
    </row>
    <row r="164" spans="1:15" ht="11.25" customHeight="1" x14ac:dyDescent="0.2">
      <c r="A164" s="292"/>
      <c r="B164" s="293"/>
      <c r="C164" s="325"/>
      <c r="D164" s="301"/>
      <c r="E164" s="301"/>
      <c r="F164" s="329"/>
      <c r="G164" s="329"/>
      <c r="H164" s="301"/>
      <c r="I164" s="301"/>
      <c r="J164" s="301"/>
      <c r="K164" s="301"/>
      <c r="L164" s="301"/>
      <c r="M164" s="305"/>
      <c r="N164" s="301"/>
      <c r="O164" s="301"/>
    </row>
    <row r="165" spans="1:15" ht="11.25" customHeight="1" thickBot="1" x14ac:dyDescent="0.25">
      <c r="A165" s="292"/>
      <c r="B165" s="293"/>
      <c r="C165" s="330" t="s">
        <v>5</v>
      </c>
      <c r="D165" s="330"/>
      <c r="E165" s="331">
        <f>SUM(E156:E163)</f>
        <v>0</v>
      </c>
      <c r="F165" s="330"/>
      <c r="G165" s="330"/>
      <c r="H165" s="331"/>
      <c r="I165" s="330"/>
      <c r="J165" s="331">
        <f>J156</f>
        <v>0</v>
      </c>
      <c r="K165" s="301"/>
      <c r="L165" s="301"/>
      <c r="M165" s="305"/>
      <c r="N165" s="301"/>
      <c r="O165" s="301"/>
    </row>
    <row r="166" spans="1:15" ht="11.25" customHeight="1" thickTop="1" x14ac:dyDescent="0.2">
      <c r="A166" s="292"/>
      <c r="B166" s="293"/>
      <c r="C166" s="325"/>
      <c r="D166" s="301"/>
      <c r="E166" s="301"/>
      <c r="F166" s="329"/>
      <c r="G166" s="329"/>
      <c r="H166" s="301"/>
      <c r="I166" s="301"/>
      <c r="J166" s="301"/>
      <c r="K166" s="301"/>
      <c r="L166" s="301"/>
      <c r="M166" s="305"/>
      <c r="N166" s="301"/>
      <c r="O166" s="301"/>
    </row>
    <row r="167" spans="1:15" ht="11.25" customHeight="1" x14ac:dyDescent="0.2">
      <c r="A167" s="292"/>
      <c r="B167" s="293"/>
      <c r="C167" s="263" t="s">
        <v>307</v>
      </c>
      <c r="D167" s="265"/>
      <c r="E167" s="265"/>
      <c r="F167" s="266"/>
      <c r="G167" s="266"/>
      <c r="H167" s="265"/>
      <c r="I167" s="265"/>
      <c r="J167" s="265"/>
      <c r="K167" s="265"/>
      <c r="L167" s="265"/>
      <c r="M167" s="300"/>
      <c r="N167" s="265"/>
      <c r="O167" s="301"/>
    </row>
    <row r="168" spans="1:15" ht="11.25" customHeight="1" x14ac:dyDescent="0.2">
      <c r="A168" s="292"/>
      <c r="B168" s="293"/>
      <c r="C168" s="268" t="s">
        <v>293</v>
      </c>
      <c r="D168" s="270"/>
      <c r="E168" s="270"/>
      <c r="F168" s="281"/>
      <c r="G168" s="281"/>
      <c r="H168" s="270"/>
      <c r="I168" s="270"/>
      <c r="J168" s="270"/>
      <c r="K168" s="270"/>
      <c r="L168" s="270"/>
      <c r="M168" s="302"/>
      <c r="N168" s="270"/>
      <c r="O168" s="301"/>
    </row>
    <row r="169" spans="1:15" ht="11.25" customHeight="1" x14ac:dyDescent="0.2">
      <c r="A169" s="292"/>
      <c r="B169" s="293"/>
      <c r="C169" s="325"/>
      <c r="D169" s="301"/>
      <c r="E169" s="301"/>
      <c r="F169" s="329"/>
      <c r="G169" s="329"/>
      <c r="H169" s="301"/>
      <c r="I169" s="301"/>
      <c r="J169" s="301"/>
      <c r="K169" s="301"/>
      <c r="L169" s="301"/>
      <c r="M169" s="305"/>
      <c r="N169" s="301"/>
      <c r="O169" s="301"/>
    </row>
    <row r="170" spans="1:15" ht="11.25" customHeight="1" x14ac:dyDescent="0.2">
      <c r="A170" s="292"/>
      <c r="B170" s="293"/>
      <c r="C170" s="333" t="s">
        <v>289</v>
      </c>
      <c r="D170" s="333"/>
      <c r="E170" s="333"/>
      <c r="F170" s="333"/>
      <c r="G170" s="333"/>
      <c r="H170" s="333"/>
      <c r="I170" s="333"/>
      <c r="J170" s="333"/>
      <c r="K170" s="301"/>
      <c r="L170" s="333"/>
      <c r="M170" s="334" t="s">
        <v>271</v>
      </c>
      <c r="N170" s="333"/>
      <c r="O170" s="301"/>
    </row>
    <row r="171" spans="1:15" ht="11.25" customHeight="1" x14ac:dyDescent="0.2">
      <c r="A171" s="292"/>
      <c r="B171" s="293"/>
      <c r="C171" s="349"/>
      <c r="D171" s="228" t="s">
        <v>10</v>
      </c>
      <c r="E171" s="228" t="s">
        <v>2</v>
      </c>
      <c r="F171" s="329"/>
      <c r="G171" s="329"/>
      <c r="H171" s="350"/>
      <c r="I171" s="301"/>
      <c r="J171" s="310" t="s">
        <v>265</v>
      </c>
      <c r="K171" s="327"/>
      <c r="L171" s="301"/>
      <c r="M171" s="313" t="s">
        <v>10</v>
      </c>
      <c r="N171" s="301"/>
      <c r="O171" s="301"/>
    </row>
    <row r="172" spans="1:15" ht="11.25" customHeight="1" x14ac:dyDescent="0.2">
      <c r="A172" s="292"/>
      <c r="B172" s="293"/>
      <c r="C172" s="349"/>
      <c r="D172" s="88" t="s">
        <v>13</v>
      </c>
      <c r="E172" s="313">
        <f>IFERROR(IF(MATCH(D172,$M$172:$M$175,0)&gt;0,$A$86,0),0)</f>
        <v>0</v>
      </c>
      <c r="F172" s="329"/>
      <c r="G172" s="329"/>
      <c r="H172" s="301"/>
      <c r="I172" s="301"/>
      <c r="J172" s="313">
        <f>IF(SUM(E172:E175)=$A$86*4,$A$87,0)</f>
        <v>0</v>
      </c>
      <c r="K172" s="327"/>
      <c r="L172" s="301"/>
      <c r="M172" s="341" t="str">
        <f>Beräkningar!P85</f>
        <v>Argentina</v>
      </c>
      <c r="N172" s="301"/>
      <c r="O172" s="301"/>
    </row>
    <row r="173" spans="1:15" ht="11.25" customHeight="1" x14ac:dyDescent="0.2">
      <c r="A173" s="292"/>
      <c r="B173" s="293"/>
      <c r="C173" s="349"/>
      <c r="D173" s="88" t="s">
        <v>13</v>
      </c>
      <c r="E173" s="313">
        <f t="shared" ref="E173:E175" si="35">IFERROR(IF(MATCH(D173,$M$172:$M$175,0)&gt;0,$A$86,0),0)</f>
        <v>0</v>
      </c>
      <c r="F173" s="329"/>
      <c r="G173" s="329"/>
      <c r="H173" s="301"/>
      <c r="I173" s="301"/>
      <c r="J173" s="301"/>
      <c r="K173" s="327"/>
      <c r="L173" s="301"/>
      <c r="M173" s="344" t="str">
        <f>Beräkningar!P86</f>
        <v>Brasilien</v>
      </c>
      <c r="N173" s="301"/>
      <c r="O173" s="301"/>
    </row>
    <row r="174" spans="1:15" ht="11.25" customHeight="1" x14ac:dyDescent="0.2">
      <c r="A174" s="292"/>
      <c r="B174" s="293"/>
      <c r="C174" s="349"/>
      <c r="D174" s="88" t="s">
        <v>13</v>
      </c>
      <c r="E174" s="313">
        <f t="shared" si="35"/>
        <v>0</v>
      </c>
      <c r="F174" s="329"/>
      <c r="G174" s="329"/>
      <c r="H174" s="301"/>
      <c r="I174" s="301"/>
      <c r="J174" s="301"/>
      <c r="K174" s="327"/>
      <c r="L174" s="301"/>
      <c r="M174" s="344" t="str">
        <f>Beräkningar!P87</f>
        <v>Frankrike</v>
      </c>
      <c r="N174" s="301"/>
      <c r="O174" s="301"/>
    </row>
    <row r="175" spans="1:15" ht="11.25" customHeight="1" x14ac:dyDescent="0.2">
      <c r="A175" s="292"/>
      <c r="B175" s="293"/>
      <c r="C175" s="349"/>
      <c r="D175" s="88" t="s">
        <v>13</v>
      </c>
      <c r="E175" s="313">
        <f t="shared" si="35"/>
        <v>0</v>
      </c>
      <c r="F175" s="329"/>
      <c r="G175" s="329"/>
      <c r="H175" s="301"/>
      <c r="I175" s="301"/>
      <c r="J175" s="301"/>
      <c r="K175" s="327"/>
      <c r="L175" s="301"/>
      <c r="M175" s="346" t="str">
        <f>Beräkningar!P88</f>
        <v>Spanien</v>
      </c>
      <c r="N175" s="301"/>
      <c r="O175" s="301"/>
    </row>
    <row r="176" spans="1:15" ht="11.25" customHeight="1" x14ac:dyDescent="0.2">
      <c r="A176" s="292"/>
      <c r="B176" s="293"/>
      <c r="C176" s="325"/>
      <c r="D176" s="301"/>
      <c r="E176" s="301"/>
      <c r="F176" s="329"/>
      <c r="G176" s="329"/>
      <c r="H176" s="301"/>
      <c r="I176" s="301"/>
      <c r="J176" s="301"/>
      <c r="K176" s="301"/>
      <c r="L176" s="301"/>
      <c r="M176" s="305"/>
      <c r="N176" s="301"/>
      <c r="O176" s="301"/>
    </row>
    <row r="177" spans="1:15" ht="11.25" customHeight="1" thickBot="1" x14ac:dyDescent="0.25">
      <c r="A177" s="292"/>
      <c r="B177" s="293"/>
      <c r="C177" s="330" t="s">
        <v>5</v>
      </c>
      <c r="D177" s="330"/>
      <c r="E177" s="331">
        <f>SUM(E172:E175)</f>
        <v>0</v>
      </c>
      <c r="F177" s="330"/>
      <c r="G177" s="330"/>
      <c r="H177" s="331"/>
      <c r="I177" s="330"/>
      <c r="J177" s="331">
        <f>J172</f>
        <v>0</v>
      </c>
      <c r="K177" s="301"/>
      <c r="L177" s="301"/>
      <c r="M177" s="305"/>
      <c r="N177" s="301"/>
      <c r="O177" s="301"/>
    </row>
    <row r="178" spans="1:15" ht="11.25" customHeight="1" thickTop="1" x14ac:dyDescent="0.2">
      <c r="A178" s="292"/>
      <c r="B178" s="293"/>
      <c r="C178" s="325"/>
      <c r="D178" s="301"/>
      <c r="E178" s="301"/>
      <c r="F178" s="329"/>
      <c r="G178" s="329"/>
      <c r="H178" s="301"/>
      <c r="I178" s="301"/>
      <c r="J178" s="301"/>
      <c r="K178" s="301"/>
      <c r="L178" s="301"/>
      <c r="M178" s="305"/>
      <c r="N178" s="301"/>
      <c r="O178" s="301"/>
    </row>
    <row r="179" spans="1:15" ht="11.25" customHeight="1" x14ac:dyDescent="0.2">
      <c r="A179" s="292"/>
      <c r="B179" s="293"/>
      <c r="C179" s="263" t="s">
        <v>308</v>
      </c>
      <c r="D179" s="265"/>
      <c r="E179" s="265"/>
      <c r="F179" s="266"/>
      <c r="G179" s="266"/>
      <c r="H179" s="265"/>
      <c r="I179" s="265"/>
      <c r="J179" s="265"/>
      <c r="K179" s="265"/>
      <c r="L179" s="265"/>
      <c r="M179" s="300"/>
      <c r="N179" s="265"/>
      <c r="O179" s="301"/>
    </row>
    <row r="180" spans="1:15" ht="11.25" customHeight="1" x14ac:dyDescent="0.2">
      <c r="A180" s="292"/>
      <c r="B180" s="293"/>
      <c r="C180" s="268" t="s">
        <v>294</v>
      </c>
      <c r="D180" s="270"/>
      <c r="E180" s="270"/>
      <c r="F180" s="281"/>
      <c r="G180" s="281"/>
      <c r="H180" s="270"/>
      <c r="I180" s="270"/>
      <c r="J180" s="270"/>
      <c r="K180" s="270"/>
      <c r="L180" s="270"/>
      <c r="M180" s="302"/>
      <c r="N180" s="270"/>
      <c r="O180" s="301"/>
    </row>
    <row r="181" spans="1:15" ht="11.25" customHeight="1" x14ac:dyDescent="0.2">
      <c r="A181" s="292"/>
      <c r="B181" s="293"/>
      <c r="C181" s="317"/>
      <c r="D181" s="301"/>
      <c r="E181" s="301"/>
      <c r="F181" s="329"/>
      <c r="G181" s="329"/>
      <c r="H181" s="301"/>
      <c r="I181" s="301"/>
      <c r="J181" s="301"/>
      <c r="K181" s="301"/>
      <c r="L181" s="301"/>
      <c r="M181" s="305"/>
      <c r="N181" s="301"/>
      <c r="O181" s="301"/>
    </row>
    <row r="182" spans="1:15" ht="11.25" customHeight="1" x14ac:dyDescent="0.2">
      <c r="A182" s="292"/>
      <c r="B182" s="293"/>
      <c r="C182" s="333" t="s">
        <v>289</v>
      </c>
      <c r="D182" s="333"/>
      <c r="E182" s="333"/>
      <c r="F182" s="333"/>
      <c r="G182" s="333"/>
      <c r="H182" s="333"/>
      <c r="I182" s="333"/>
      <c r="J182" s="333"/>
      <c r="K182" s="301"/>
      <c r="L182" s="333"/>
      <c r="M182" s="334" t="s">
        <v>271</v>
      </c>
      <c r="N182" s="333"/>
      <c r="O182" s="301"/>
    </row>
    <row r="183" spans="1:15" ht="11.25" customHeight="1" x14ac:dyDescent="0.2">
      <c r="A183" s="292"/>
      <c r="B183" s="293"/>
      <c r="C183" s="308" t="s">
        <v>11</v>
      </c>
      <c r="D183" s="309" t="s">
        <v>10</v>
      </c>
      <c r="E183" s="228" t="s">
        <v>2</v>
      </c>
      <c r="F183" s="329"/>
      <c r="G183" s="329"/>
      <c r="H183" s="350"/>
      <c r="I183" s="301"/>
      <c r="J183" s="310" t="s">
        <v>265</v>
      </c>
      <c r="K183" s="327"/>
      <c r="L183" s="301"/>
      <c r="M183" s="313" t="s">
        <v>10</v>
      </c>
      <c r="N183" s="301"/>
      <c r="O183" s="301"/>
    </row>
    <row r="184" spans="1:15" ht="11.25" customHeight="1" x14ac:dyDescent="0.2">
      <c r="A184" s="292"/>
      <c r="B184" s="293"/>
      <c r="C184" s="351">
        <v>1</v>
      </c>
      <c r="D184" s="88" t="s">
        <v>13</v>
      </c>
      <c r="E184" s="313">
        <f>IFERROR(IF(MATCH(D184,$M$184:$M$185,0)&gt;0,$A$89,0),0)+(D184=M184)*$A$90</f>
        <v>0</v>
      </c>
      <c r="F184" s="329"/>
      <c r="G184" s="329"/>
      <c r="H184" s="301"/>
      <c r="I184" s="301"/>
      <c r="J184" s="313">
        <f>IF(SUM(E184:E187)=$A$90*4,$A$91,0)</f>
        <v>0</v>
      </c>
      <c r="K184" s="327"/>
      <c r="L184" s="301"/>
      <c r="M184" s="341" t="str">
        <f>Beräkningar!R85</f>
        <v>Brasilien</v>
      </c>
      <c r="N184" s="301"/>
      <c r="O184" s="301"/>
    </row>
    <row r="185" spans="1:15" ht="11.25" customHeight="1" x14ac:dyDescent="0.2">
      <c r="A185" s="292"/>
      <c r="B185" s="293"/>
      <c r="C185" s="351">
        <v>2</v>
      </c>
      <c r="D185" s="88" t="s">
        <v>13</v>
      </c>
      <c r="E185" s="313">
        <f>IFERROR(IF(MATCH(D185,$M$184:$M$185,0)&gt;0,$A$89,0),0)+(D185=M185)*$A$90</f>
        <v>0</v>
      </c>
      <c r="F185" s="329"/>
      <c r="G185" s="329"/>
      <c r="H185" s="301"/>
      <c r="I185" s="301"/>
      <c r="J185" s="301"/>
      <c r="K185" s="327"/>
      <c r="L185" s="301"/>
      <c r="M185" s="344" t="str">
        <f>Beräkningar!R86</f>
        <v>Frankrike</v>
      </c>
      <c r="N185" s="301"/>
      <c r="O185" s="301"/>
    </row>
    <row r="186" spans="1:15" ht="11.25" customHeight="1" x14ac:dyDescent="0.2">
      <c r="A186" s="292"/>
      <c r="B186" s="293"/>
      <c r="C186" s="351">
        <v>3</v>
      </c>
      <c r="D186" s="88" t="s">
        <v>13</v>
      </c>
      <c r="E186" s="313">
        <f>IFERROR(IF(MATCH(D186,$M$186:$M$187,0)&gt;0,$A$89,0),0)+(D186=M186)*$A$90</f>
        <v>0</v>
      </c>
      <c r="F186" s="329"/>
      <c r="G186" s="329"/>
      <c r="H186" s="301"/>
      <c r="I186" s="301"/>
      <c r="J186" s="301"/>
      <c r="K186" s="327"/>
      <c r="L186" s="301"/>
      <c r="M186" s="344" t="str">
        <f>Beräkningar!R87</f>
        <v>Spanien</v>
      </c>
      <c r="N186" s="301"/>
      <c r="O186" s="301"/>
    </row>
    <row r="187" spans="1:15" ht="11.25" customHeight="1" x14ac:dyDescent="0.2">
      <c r="A187" s="292"/>
      <c r="B187" s="293"/>
      <c r="C187" s="351">
        <v>4</v>
      </c>
      <c r="D187" s="88" t="s">
        <v>13</v>
      </c>
      <c r="E187" s="313">
        <f>IFERROR(IF(MATCH(D187,$M$186:$M$187,0)&gt;0,$A$89,0),0)+(D187=M187)*$A$90</f>
        <v>0</v>
      </c>
      <c r="F187" s="329"/>
      <c r="G187" s="329"/>
      <c r="H187" s="301"/>
      <c r="I187" s="301"/>
      <c r="J187" s="301"/>
      <c r="K187" s="327"/>
      <c r="L187" s="301"/>
      <c r="M187" s="346" t="str">
        <f>Beräkningar!R88</f>
        <v>Argentina</v>
      </c>
      <c r="N187" s="301"/>
      <c r="O187" s="301"/>
    </row>
    <row r="188" spans="1:15" ht="11.25" customHeight="1" x14ac:dyDescent="0.2">
      <c r="A188" s="292"/>
      <c r="B188" s="293"/>
      <c r="C188" s="317"/>
      <c r="D188" s="340"/>
      <c r="E188" s="340"/>
      <c r="F188" s="352"/>
      <c r="G188" s="352"/>
      <c r="H188" s="301"/>
      <c r="I188" s="301"/>
      <c r="J188" s="301"/>
      <c r="K188" s="301"/>
      <c r="L188" s="301"/>
      <c r="M188" s="305"/>
      <c r="N188" s="301"/>
      <c r="O188" s="301"/>
    </row>
    <row r="189" spans="1:15" ht="11.25" customHeight="1" thickBot="1" x14ac:dyDescent="0.25">
      <c r="A189" s="292"/>
      <c r="B189" s="293"/>
      <c r="C189" s="330" t="s">
        <v>5</v>
      </c>
      <c r="D189" s="330"/>
      <c r="E189" s="331">
        <f>SUM(E184:E187)</f>
        <v>0</v>
      </c>
      <c r="F189" s="330"/>
      <c r="G189" s="330"/>
      <c r="H189" s="331"/>
      <c r="I189" s="330"/>
      <c r="J189" s="331">
        <f>J184</f>
        <v>0</v>
      </c>
      <c r="K189" s="301"/>
      <c r="L189" s="301"/>
      <c r="M189" s="305"/>
      <c r="N189" s="301"/>
      <c r="O189" s="301"/>
    </row>
    <row r="190" spans="1:15" ht="11.25" customHeight="1" thickTop="1" x14ac:dyDescent="0.2">
      <c r="A190" s="292"/>
      <c r="B190" s="293"/>
      <c r="C190" s="317"/>
      <c r="D190" s="340"/>
      <c r="E190" s="340"/>
      <c r="F190" s="352"/>
      <c r="G190" s="352"/>
      <c r="H190" s="301"/>
      <c r="I190" s="301"/>
      <c r="J190" s="301"/>
      <c r="K190" s="301"/>
      <c r="L190" s="301"/>
      <c r="M190" s="305"/>
      <c r="N190" s="301"/>
      <c r="O190" s="301"/>
    </row>
    <row r="191" spans="1:15" ht="11.25" customHeight="1" x14ac:dyDescent="0.2">
      <c r="A191" s="292"/>
      <c r="B191" s="293"/>
      <c r="C191" s="263" t="s">
        <v>309</v>
      </c>
      <c r="D191" s="265"/>
      <c r="E191" s="265"/>
      <c r="F191" s="266"/>
      <c r="G191" s="266"/>
      <c r="H191" s="265"/>
      <c r="I191" s="265"/>
      <c r="J191" s="265"/>
      <c r="K191" s="265"/>
      <c r="L191" s="265"/>
      <c r="M191" s="300"/>
      <c r="N191" s="265"/>
      <c r="O191" s="299"/>
    </row>
    <row r="192" spans="1:15" ht="11.25" customHeight="1" x14ac:dyDescent="0.2">
      <c r="A192" s="292"/>
      <c r="B192" s="293"/>
      <c r="C192" s="268" t="s">
        <v>295</v>
      </c>
      <c r="D192" s="270"/>
      <c r="E192" s="270"/>
      <c r="F192" s="281"/>
      <c r="G192" s="281"/>
      <c r="H192" s="270"/>
      <c r="I192" s="270"/>
      <c r="J192" s="270"/>
      <c r="K192" s="270"/>
      <c r="L192" s="270"/>
      <c r="M192" s="302"/>
      <c r="N192" s="270"/>
      <c r="O192" s="301"/>
    </row>
    <row r="193" spans="1:15" ht="11.25" customHeight="1" x14ac:dyDescent="0.2">
      <c r="A193" s="292"/>
      <c r="B193" s="293"/>
      <c r="C193" s="317"/>
      <c r="D193" s="301"/>
      <c r="E193" s="301"/>
      <c r="F193" s="329"/>
      <c r="G193" s="329"/>
      <c r="H193" s="301"/>
      <c r="I193" s="301"/>
      <c r="J193" s="301"/>
      <c r="K193" s="301"/>
      <c r="L193" s="301"/>
      <c r="M193" s="305"/>
      <c r="N193" s="301"/>
      <c r="O193" s="301"/>
    </row>
    <row r="194" spans="1:15" ht="11.25" customHeight="1" x14ac:dyDescent="0.2">
      <c r="A194" s="292"/>
      <c r="B194" s="293"/>
      <c r="C194" s="333" t="s">
        <v>289</v>
      </c>
      <c r="D194" s="333"/>
      <c r="E194" s="333"/>
      <c r="F194" s="333"/>
      <c r="G194" s="333"/>
      <c r="H194" s="333"/>
      <c r="I194" s="333"/>
      <c r="J194" s="333"/>
      <c r="K194" s="301"/>
      <c r="L194" s="333"/>
      <c r="M194" s="334" t="s">
        <v>271</v>
      </c>
      <c r="N194" s="333"/>
      <c r="O194" s="301"/>
    </row>
    <row r="195" spans="1:15" ht="11.25" customHeight="1" x14ac:dyDescent="0.2">
      <c r="A195" s="292"/>
      <c r="B195" s="293"/>
      <c r="C195" s="308" t="s">
        <v>11</v>
      </c>
      <c r="D195" s="309" t="s">
        <v>39</v>
      </c>
      <c r="E195" s="228" t="s">
        <v>2</v>
      </c>
      <c r="F195" s="343"/>
      <c r="G195" s="343"/>
      <c r="H195" s="301"/>
      <c r="I195" s="301"/>
      <c r="J195" s="301"/>
      <c r="K195" s="301"/>
      <c r="L195" s="301"/>
      <c r="M195" s="313" t="s">
        <v>39</v>
      </c>
      <c r="N195" s="301"/>
      <c r="O195" s="301"/>
    </row>
    <row r="196" spans="1:15" ht="11.25" customHeight="1" x14ac:dyDescent="0.2">
      <c r="A196" s="292"/>
      <c r="B196" s="293"/>
      <c r="C196" s="351">
        <v>1</v>
      </c>
      <c r="D196" s="91" t="s">
        <v>13</v>
      </c>
      <c r="E196" s="313">
        <f>IFERROR(IF(MATCH(D196,$M$196:$M$198,0)&gt;0,$A$94,0),0)+IFERROR((D196=M196)*$A$93,0)</f>
        <v>0</v>
      </c>
      <c r="F196" s="343"/>
      <c r="G196" s="343"/>
      <c r="H196" s="301"/>
      <c r="I196" s="301"/>
      <c r="J196" s="301"/>
      <c r="K196" s="301"/>
      <c r="L196" s="301"/>
      <c r="M196" s="341" t="str">
        <f>Tippa!P66</f>
        <v>Mbappé</v>
      </c>
      <c r="N196" s="301"/>
      <c r="O196" s="301"/>
    </row>
    <row r="197" spans="1:15" ht="11.25" customHeight="1" x14ac:dyDescent="0.2">
      <c r="A197" s="292"/>
      <c r="B197" s="293"/>
      <c r="C197" s="351">
        <v>2</v>
      </c>
      <c r="D197" s="91" t="s">
        <v>13</v>
      </c>
      <c r="E197" s="313">
        <f>IFERROR(IF(MATCH(D197,$M$196:$M$198,0)&gt;0,$A$94,0),0)+IFERROR((D197=M197)*$A$93,0)</f>
        <v>0</v>
      </c>
      <c r="F197" s="343"/>
      <c r="G197" s="343"/>
      <c r="H197" s="301"/>
      <c r="I197" s="301"/>
      <c r="J197" s="301"/>
      <c r="K197" s="301"/>
      <c r="L197" s="301"/>
      <c r="M197" s="344" t="str">
        <f>Tippa!P67</f>
        <v>Messi</v>
      </c>
      <c r="N197" s="301"/>
      <c r="O197" s="301"/>
    </row>
    <row r="198" spans="1:15" ht="11.25" customHeight="1" x14ac:dyDescent="0.2">
      <c r="A198" s="292"/>
      <c r="B198" s="293"/>
      <c r="C198" s="351">
        <v>3</v>
      </c>
      <c r="D198" s="91" t="s">
        <v>13</v>
      </c>
      <c r="E198" s="313">
        <f>IFERROR(IF(MATCH(D198,$M$196:$M$198,0)&gt;0,$A$94,0),0)+IFERROR((D198=M198)*$A$93,0)</f>
        <v>0</v>
      </c>
      <c r="F198" s="343"/>
      <c r="G198" s="343"/>
      <c r="H198" s="301"/>
      <c r="I198" s="301"/>
      <c r="J198" s="301"/>
      <c r="K198" s="301"/>
      <c r="L198" s="301"/>
      <c r="M198" s="346" t="str">
        <f>Tippa!P68</f>
        <v>Kane</v>
      </c>
      <c r="N198" s="301"/>
      <c r="O198" s="301"/>
    </row>
    <row r="199" spans="1:15" ht="11.25" customHeight="1" x14ac:dyDescent="0.2">
      <c r="A199" s="292"/>
      <c r="B199" s="293"/>
      <c r="C199" s="325"/>
      <c r="D199" s="301"/>
      <c r="E199" s="301"/>
      <c r="F199" s="343"/>
      <c r="G199" s="343"/>
      <c r="H199" s="301"/>
      <c r="I199" s="301"/>
      <c r="J199" s="301"/>
      <c r="K199" s="301"/>
      <c r="L199" s="301"/>
      <c r="M199" s="305"/>
      <c r="N199" s="301"/>
      <c r="O199" s="299"/>
    </row>
    <row r="200" spans="1:15" ht="11.25" customHeight="1" thickBot="1" x14ac:dyDescent="0.25">
      <c r="A200" s="292"/>
      <c r="B200" s="293"/>
      <c r="C200" s="330" t="s">
        <v>5</v>
      </c>
      <c r="D200" s="330"/>
      <c r="E200" s="331">
        <f>SUM(E196:E198)</f>
        <v>0</v>
      </c>
      <c r="F200" s="343"/>
      <c r="G200" s="343"/>
      <c r="H200" s="301"/>
      <c r="I200" s="301"/>
      <c r="J200" s="301"/>
      <c r="K200" s="301"/>
      <c r="L200" s="301"/>
      <c r="M200" s="305"/>
      <c r="N200" s="301"/>
      <c r="O200" s="299"/>
    </row>
    <row r="201" spans="1:15" ht="11.25" customHeight="1" thickTop="1" x14ac:dyDescent="0.2">
      <c r="A201" s="292"/>
      <c r="B201" s="293"/>
      <c r="C201" s="325"/>
      <c r="D201" s="301"/>
      <c r="E201" s="301"/>
      <c r="F201" s="343"/>
      <c r="G201" s="343"/>
      <c r="H201" s="301"/>
      <c r="I201" s="301"/>
      <c r="J201" s="301"/>
      <c r="K201" s="301"/>
      <c r="L201" s="301"/>
      <c r="M201" s="305"/>
      <c r="N201" s="301"/>
      <c r="O201" s="299"/>
    </row>
    <row r="202" spans="1:15" ht="11.25" customHeight="1" x14ac:dyDescent="0.2">
      <c r="A202" s="292"/>
      <c r="B202" s="293"/>
      <c r="C202" s="263" t="s">
        <v>310</v>
      </c>
      <c r="D202" s="265"/>
      <c r="E202" s="265"/>
      <c r="F202" s="266"/>
      <c r="G202" s="266"/>
      <c r="H202" s="265"/>
      <c r="I202" s="265"/>
      <c r="J202" s="265"/>
      <c r="K202" s="265"/>
      <c r="L202" s="265"/>
      <c r="M202" s="300"/>
      <c r="N202" s="265"/>
      <c r="O202" s="301"/>
    </row>
    <row r="203" spans="1:15" ht="11.25" customHeight="1" x14ac:dyDescent="0.2">
      <c r="A203" s="292"/>
      <c r="B203" s="293"/>
      <c r="C203" s="268" t="s">
        <v>296</v>
      </c>
      <c r="D203" s="270"/>
      <c r="E203" s="270"/>
      <c r="F203" s="281"/>
      <c r="G203" s="281"/>
      <c r="H203" s="270"/>
      <c r="I203" s="270"/>
      <c r="J203" s="270"/>
      <c r="K203" s="270"/>
      <c r="L203" s="270"/>
      <c r="M203" s="302"/>
      <c r="N203" s="270"/>
      <c r="O203" s="299"/>
    </row>
    <row r="204" spans="1:15" ht="11.25" customHeight="1" x14ac:dyDescent="0.2">
      <c r="A204" s="292"/>
      <c r="B204" s="293"/>
      <c r="C204" s="325"/>
      <c r="D204" s="301"/>
      <c r="E204" s="301"/>
      <c r="F204" s="329"/>
      <c r="G204" s="329"/>
      <c r="H204" s="301"/>
      <c r="I204" s="301"/>
      <c r="J204" s="301"/>
      <c r="K204" s="301"/>
      <c r="L204" s="301"/>
      <c r="M204" s="305"/>
      <c r="N204" s="301"/>
      <c r="O204" s="299"/>
    </row>
    <row r="205" spans="1:15" ht="11.25" customHeight="1" x14ac:dyDescent="0.2">
      <c r="A205" s="292"/>
      <c r="B205" s="293"/>
      <c r="C205" s="333" t="s">
        <v>289</v>
      </c>
      <c r="D205" s="333"/>
      <c r="E205" s="333"/>
      <c r="F205" s="333"/>
      <c r="G205" s="333"/>
      <c r="H205" s="333"/>
      <c r="I205" s="333"/>
      <c r="J205" s="333"/>
      <c r="K205" s="301"/>
      <c r="L205" s="333"/>
      <c r="M205" s="334" t="s">
        <v>271</v>
      </c>
      <c r="N205" s="333"/>
      <c r="O205" s="299"/>
    </row>
    <row r="206" spans="1:15" ht="11.25" customHeight="1" x14ac:dyDescent="0.2">
      <c r="A206" s="292"/>
      <c r="B206" s="293"/>
      <c r="C206" s="349"/>
      <c r="D206" s="228" t="s">
        <v>39</v>
      </c>
      <c r="E206" s="228" t="s">
        <v>2</v>
      </c>
      <c r="F206" s="329"/>
      <c r="G206" s="329"/>
      <c r="H206" s="301"/>
      <c r="I206" s="301"/>
      <c r="J206" s="301"/>
      <c r="K206" s="301"/>
      <c r="L206" s="301"/>
      <c r="M206" s="313" t="s">
        <v>39</v>
      </c>
      <c r="N206" s="301"/>
      <c r="O206" s="299"/>
    </row>
    <row r="207" spans="1:15" ht="11.25" customHeight="1" x14ac:dyDescent="0.2">
      <c r="A207" s="292"/>
      <c r="B207" s="293"/>
      <c r="C207" s="349"/>
      <c r="D207" s="91" t="s">
        <v>13</v>
      </c>
      <c r="E207" s="313">
        <f>IFERROR((D207=M207)*$A$97,0)</f>
        <v>0</v>
      </c>
      <c r="F207" s="329"/>
      <c r="G207" s="329"/>
      <c r="H207" s="301"/>
      <c r="I207" s="301"/>
      <c r="J207" s="301"/>
      <c r="K207" s="301"/>
      <c r="L207" s="301"/>
      <c r="M207" s="346" t="str">
        <f>Tippa!P45</f>
        <v>Valencia</v>
      </c>
      <c r="N207" s="301"/>
      <c r="O207" s="299"/>
    </row>
    <row r="208" spans="1:15" ht="11.25" customHeight="1" x14ac:dyDescent="0.2">
      <c r="A208" s="292"/>
      <c r="B208" s="293"/>
      <c r="C208" s="325"/>
      <c r="D208" s="301"/>
      <c r="E208" s="301"/>
      <c r="F208" s="329"/>
      <c r="G208" s="329"/>
      <c r="H208" s="301"/>
      <c r="I208" s="301"/>
      <c r="J208" s="301"/>
      <c r="K208" s="301"/>
      <c r="L208" s="301"/>
      <c r="M208" s="305"/>
      <c r="N208" s="301"/>
      <c r="O208" s="299"/>
    </row>
    <row r="209" spans="1:15" ht="11.25" customHeight="1" x14ac:dyDescent="0.2">
      <c r="A209" s="292"/>
      <c r="B209" s="293"/>
      <c r="C209" s="263" t="s">
        <v>311</v>
      </c>
      <c r="D209" s="265"/>
      <c r="E209" s="265"/>
      <c r="F209" s="266"/>
      <c r="G209" s="266"/>
      <c r="H209" s="265"/>
      <c r="I209" s="265"/>
      <c r="J209" s="265"/>
      <c r="K209" s="265"/>
      <c r="L209" s="265"/>
      <c r="M209" s="300"/>
      <c r="N209" s="265"/>
      <c r="O209" s="299"/>
    </row>
    <row r="210" spans="1:15" ht="11.25" customHeight="1" x14ac:dyDescent="0.2">
      <c r="A210" s="292"/>
      <c r="B210" s="293"/>
      <c r="C210" s="268" t="s">
        <v>297</v>
      </c>
      <c r="D210" s="270"/>
      <c r="E210" s="270"/>
      <c r="F210" s="281"/>
      <c r="G210" s="281"/>
      <c r="H210" s="270"/>
      <c r="I210" s="270"/>
      <c r="J210" s="270"/>
      <c r="K210" s="270"/>
      <c r="L210" s="270"/>
      <c r="M210" s="302"/>
      <c r="N210" s="270"/>
      <c r="O210" s="299"/>
    </row>
    <row r="211" spans="1:15" ht="11.25" customHeight="1" x14ac:dyDescent="0.2">
      <c r="A211" s="292"/>
      <c r="B211" s="293"/>
      <c r="C211" s="325"/>
      <c r="D211" s="301"/>
      <c r="E211" s="301"/>
      <c r="F211" s="329"/>
      <c r="G211" s="329"/>
      <c r="H211" s="301"/>
      <c r="I211" s="301"/>
      <c r="J211" s="301"/>
      <c r="K211" s="301"/>
      <c r="L211" s="301"/>
      <c r="M211" s="305"/>
      <c r="N211" s="301"/>
      <c r="O211" s="299"/>
    </row>
    <row r="212" spans="1:15" ht="11.25" customHeight="1" x14ac:dyDescent="0.2">
      <c r="A212" s="292"/>
      <c r="B212" s="293"/>
      <c r="C212" s="333" t="s">
        <v>289</v>
      </c>
      <c r="D212" s="333"/>
      <c r="E212" s="333"/>
      <c r="F212" s="333"/>
      <c r="G212" s="333"/>
      <c r="H212" s="333"/>
      <c r="I212" s="333"/>
      <c r="J212" s="333"/>
      <c r="K212" s="301"/>
      <c r="L212" s="333"/>
      <c r="M212" s="334" t="s">
        <v>271</v>
      </c>
      <c r="N212" s="333"/>
      <c r="O212" s="299"/>
    </row>
    <row r="213" spans="1:15" ht="11.25" customHeight="1" x14ac:dyDescent="0.2">
      <c r="A213" s="292"/>
      <c r="B213" s="293"/>
      <c r="C213" s="349"/>
      <c r="D213" s="228" t="s">
        <v>10</v>
      </c>
      <c r="E213" s="228" t="s">
        <v>2</v>
      </c>
      <c r="F213" s="329"/>
      <c r="G213" s="329"/>
      <c r="H213" s="301"/>
      <c r="I213" s="301"/>
      <c r="J213" s="301"/>
      <c r="K213" s="301"/>
      <c r="L213" s="301"/>
      <c r="M213" s="313" t="s">
        <v>10</v>
      </c>
      <c r="N213" s="301"/>
      <c r="O213" s="299"/>
    </row>
    <row r="214" spans="1:15" ht="11.25" customHeight="1" x14ac:dyDescent="0.2">
      <c r="A214" s="292"/>
      <c r="B214" s="293"/>
      <c r="C214" s="349"/>
      <c r="D214" s="88" t="s">
        <v>13</v>
      </c>
      <c r="E214" s="313">
        <f>IFERROR((D214=M214)*$A$100,0)</f>
        <v>0</v>
      </c>
      <c r="F214" s="329"/>
      <c r="G214" s="329"/>
      <c r="H214" s="301"/>
      <c r="I214" s="301"/>
      <c r="J214" s="301"/>
      <c r="K214" s="301"/>
      <c r="L214" s="301"/>
      <c r="M214" s="346" t="str">
        <f>Tippa!P52</f>
        <v>Tunisien</v>
      </c>
      <c r="N214" s="301"/>
      <c r="O214" s="301"/>
    </row>
    <row r="215" spans="1:15" ht="11.25" customHeight="1" x14ac:dyDescent="0.2">
      <c r="A215" s="292"/>
      <c r="B215" s="293"/>
      <c r="C215" s="349"/>
      <c r="D215" s="301"/>
      <c r="E215" s="301"/>
      <c r="F215" s="301"/>
      <c r="G215" s="301"/>
      <c r="H215" s="301"/>
      <c r="I215" s="301"/>
      <c r="J215" s="301"/>
      <c r="K215" s="301"/>
      <c r="L215" s="301"/>
      <c r="M215" s="305"/>
      <c r="N215" s="301"/>
      <c r="O215" s="301"/>
    </row>
    <row r="216" spans="1:15" ht="11.25" customHeight="1" x14ac:dyDescent="0.2">
      <c r="A216" s="292"/>
      <c r="B216" s="293"/>
      <c r="C216" s="263" t="s">
        <v>312</v>
      </c>
      <c r="D216" s="265"/>
      <c r="E216" s="265"/>
      <c r="F216" s="266"/>
      <c r="G216" s="266"/>
      <c r="H216" s="265"/>
      <c r="I216" s="265"/>
      <c r="J216" s="265"/>
      <c r="K216" s="265"/>
      <c r="L216" s="265"/>
      <c r="M216" s="300"/>
      <c r="N216" s="265"/>
      <c r="O216" s="301"/>
    </row>
    <row r="217" spans="1:15" ht="11.25" customHeight="1" x14ac:dyDescent="0.2">
      <c r="A217" s="292"/>
      <c r="B217" s="293"/>
      <c r="C217" s="268" t="s">
        <v>297</v>
      </c>
      <c r="D217" s="270"/>
      <c r="E217" s="270"/>
      <c r="F217" s="281"/>
      <c r="G217" s="281"/>
      <c r="H217" s="270"/>
      <c r="I217" s="270"/>
      <c r="J217" s="270"/>
      <c r="K217" s="270"/>
      <c r="L217" s="270"/>
      <c r="M217" s="302"/>
      <c r="N217" s="270"/>
      <c r="O217" s="301"/>
    </row>
    <row r="218" spans="1:15" ht="11.25" customHeight="1" x14ac:dyDescent="0.2">
      <c r="A218" s="292"/>
      <c r="B218" s="293"/>
      <c r="C218" s="325"/>
      <c r="D218" s="301"/>
      <c r="E218" s="301"/>
      <c r="F218" s="329"/>
      <c r="G218" s="329"/>
      <c r="H218" s="301"/>
      <c r="I218" s="301"/>
      <c r="J218" s="301"/>
      <c r="K218" s="301"/>
      <c r="L218" s="301"/>
      <c r="M218" s="305"/>
      <c r="N218" s="301"/>
      <c r="O218" s="301"/>
    </row>
    <row r="219" spans="1:15" ht="11.25" customHeight="1" x14ac:dyDescent="0.2">
      <c r="A219" s="292"/>
      <c r="B219" s="293"/>
      <c r="C219" s="333" t="s">
        <v>289</v>
      </c>
      <c r="D219" s="333"/>
      <c r="E219" s="333"/>
      <c r="F219" s="333"/>
      <c r="G219" s="333"/>
      <c r="H219" s="333"/>
      <c r="I219" s="333"/>
      <c r="J219" s="333"/>
      <c r="K219" s="301"/>
      <c r="L219" s="333"/>
      <c r="M219" s="334" t="s">
        <v>271</v>
      </c>
      <c r="N219" s="333"/>
      <c r="O219" s="301"/>
    </row>
    <row r="220" spans="1:15" ht="11.25" customHeight="1" x14ac:dyDescent="0.2">
      <c r="A220" s="292"/>
      <c r="B220" s="293"/>
      <c r="C220" s="349"/>
      <c r="D220" s="228" t="s">
        <v>10</v>
      </c>
      <c r="E220" s="228" t="s">
        <v>2</v>
      </c>
      <c r="F220" s="329"/>
      <c r="G220" s="329"/>
      <c r="H220" s="301"/>
      <c r="I220" s="301"/>
      <c r="J220" s="301"/>
      <c r="K220" s="327"/>
      <c r="L220" s="301"/>
      <c r="M220" s="313" t="s">
        <v>10</v>
      </c>
      <c r="N220" s="301"/>
      <c r="O220" s="301"/>
    </row>
    <row r="221" spans="1:15" ht="11.25" customHeight="1" x14ac:dyDescent="0.2">
      <c r="A221" s="292"/>
      <c r="B221" s="293"/>
      <c r="C221" s="349"/>
      <c r="D221" s="88" t="s">
        <v>13</v>
      </c>
      <c r="E221" s="313">
        <f>IFERROR((D221=M221)*$A$103,0)</f>
        <v>0</v>
      </c>
      <c r="F221" s="329"/>
      <c r="G221" s="329"/>
      <c r="H221" s="301"/>
      <c r="I221" s="301"/>
      <c r="J221" s="301"/>
      <c r="K221" s="327"/>
      <c r="L221" s="301"/>
      <c r="M221" s="346" t="str">
        <f>Tippa!P59</f>
        <v>Qatar</v>
      </c>
      <c r="N221" s="301"/>
      <c r="O221" s="301"/>
    </row>
    <row r="222" spans="1:15" ht="11.25" customHeight="1" x14ac:dyDescent="0.2">
      <c r="A222" s="292"/>
      <c r="B222" s="293"/>
      <c r="C222" s="317"/>
      <c r="D222" s="301"/>
      <c r="E222" s="301"/>
      <c r="F222" s="301"/>
      <c r="G222" s="301"/>
      <c r="H222" s="301"/>
      <c r="I222" s="301"/>
      <c r="J222" s="301"/>
      <c r="K222" s="301"/>
      <c r="L222" s="301"/>
      <c r="M222" s="301"/>
      <c r="N222" s="301"/>
      <c r="O222" s="301"/>
    </row>
    <row r="223" spans="1:15" ht="11.25" customHeight="1" x14ac:dyDescent="0.2">
      <c r="A223" s="292"/>
      <c r="B223" s="293"/>
      <c r="C223" s="353" t="s">
        <v>299</v>
      </c>
      <c r="D223" s="354"/>
      <c r="E223" s="354"/>
      <c r="F223" s="354"/>
      <c r="G223" s="354"/>
      <c r="H223" s="354"/>
      <c r="I223" s="354"/>
      <c r="J223" s="354"/>
      <c r="K223" s="354"/>
      <c r="L223" s="354"/>
      <c r="M223" s="354"/>
      <c r="N223" s="354"/>
      <c r="O223" s="301"/>
    </row>
    <row r="224" spans="1:15" ht="11.25" customHeight="1" x14ac:dyDescent="0.2">
      <c r="A224" s="292"/>
      <c r="B224" s="293"/>
      <c r="C224" s="317"/>
      <c r="D224" s="301"/>
      <c r="E224" s="301"/>
      <c r="F224" s="301"/>
      <c r="G224" s="301"/>
      <c r="H224" s="301"/>
      <c r="I224" s="301"/>
      <c r="J224" s="301"/>
      <c r="K224" s="301"/>
      <c r="L224" s="301"/>
      <c r="M224" s="301"/>
      <c r="N224" s="301"/>
      <c r="O224" s="301"/>
    </row>
    <row r="225" spans="1:15" ht="13.5" thickBot="1" x14ac:dyDescent="0.25">
      <c r="A225" s="292"/>
      <c r="B225" s="293"/>
      <c r="C225" s="116" t="s">
        <v>300</v>
      </c>
      <c r="D225" s="30"/>
      <c r="E225" s="30"/>
      <c r="F225" s="30"/>
      <c r="G225" s="117" t="s">
        <v>288</v>
      </c>
      <c r="H225" s="301"/>
      <c r="I225" s="301"/>
      <c r="J225" s="301"/>
      <c r="K225" s="301"/>
      <c r="L225" s="301"/>
      <c r="M225" s="305"/>
      <c r="N225" s="301"/>
      <c r="O225" s="301"/>
    </row>
    <row r="226" spans="1:15" x14ac:dyDescent="0.2">
      <c r="A226" s="292"/>
      <c r="B226" s="293"/>
      <c r="C226" s="118" t="s">
        <v>313</v>
      </c>
      <c r="D226" s="119"/>
      <c r="E226" s="119"/>
      <c r="F226" s="119"/>
      <c r="G226" s="120">
        <f>SUM(E71:J71)</f>
        <v>0</v>
      </c>
      <c r="H226" s="301"/>
      <c r="I226" s="301"/>
      <c r="J226" s="301"/>
      <c r="K226" s="301"/>
      <c r="L226" s="301"/>
      <c r="M226" s="305"/>
      <c r="N226" s="301"/>
      <c r="O226" s="301"/>
    </row>
    <row r="227" spans="1:15" x14ac:dyDescent="0.2">
      <c r="A227" s="292"/>
      <c r="B227" s="293"/>
      <c r="C227" s="121" t="s">
        <v>314</v>
      </c>
      <c r="D227" s="122"/>
      <c r="E227" s="122"/>
      <c r="F227" s="122"/>
      <c r="G227" s="123">
        <f>SUM(E125:J125)</f>
        <v>0</v>
      </c>
      <c r="H227" s="301"/>
      <c r="I227" s="301"/>
      <c r="J227" s="301"/>
      <c r="K227" s="301"/>
      <c r="L227" s="301"/>
      <c r="M227" s="305"/>
      <c r="N227" s="301"/>
      <c r="O227" s="301"/>
    </row>
    <row r="228" spans="1:15" x14ac:dyDescent="0.2">
      <c r="A228" s="292"/>
      <c r="B228" s="293"/>
      <c r="C228" s="121" t="s">
        <v>316</v>
      </c>
      <c r="D228" s="122"/>
      <c r="E228" s="122"/>
      <c r="F228" s="122"/>
      <c r="G228" s="123">
        <f>SUM(E149:J149)</f>
        <v>0</v>
      </c>
      <c r="H228" s="301"/>
      <c r="I228" s="301"/>
      <c r="J228" s="301"/>
      <c r="K228" s="301"/>
      <c r="L228" s="301"/>
      <c r="M228" s="305"/>
      <c r="N228" s="301"/>
      <c r="O228" s="301"/>
    </row>
    <row r="229" spans="1:15" x14ac:dyDescent="0.2">
      <c r="A229" s="292"/>
      <c r="B229" s="293"/>
      <c r="C229" s="121" t="s">
        <v>315</v>
      </c>
      <c r="D229" s="122"/>
      <c r="E229" s="122"/>
      <c r="F229" s="122"/>
      <c r="G229" s="123">
        <f>SUM(E165:J165)</f>
        <v>0</v>
      </c>
      <c r="H229" s="301"/>
      <c r="I229" s="301"/>
      <c r="J229" s="301"/>
      <c r="K229" s="301"/>
      <c r="L229" s="301"/>
      <c r="M229" s="305"/>
      <c r="N229" s="301"/>
      <c r="O229" s="301"/>
    </row>
    <row r="230" spans="1:15" x14ac:dyDescent="0.2">
      <c r="A230" s="292"/>
      <c r="B230" s="293"/>
      <c r="C230" s="121" t="s">
        <v>317</v>
      </c>
      <c r="D230" s="122"/>
      <c r="E230" s="122"/>
      <c r="F230" s="122"/>
      <c r="G230" s="123">
        <f>SUM(E177:J177)</f>
        <v>0</v>
      </c>
      <c r="H230" s="301"/>
      <c r="I230" s="301"/>
      <c r="J230" s="301"/>
      <c r="K230" s="301"/>
      <c r="L230" s="301"/>
      <c r="M230" s="305"/>
      <c r="N230" s="301"/>
      <c r="O230" s="301"/>
    </row>
    <row r="231" spans="1:15" x14ac:dyDescent="0.2">
      <c r="A231" s="292"/>
      <c r="B231" s="293"/>
      <c r="C231" s="121" t="s">
        <v>318</v>
      </c>
      <c r="D231" s="122"/>
      <c r="E231" s="122"/>
      <c r="F231" s="122"/>
      <c r="G231" s="123">
        <f>SUM(E189:J189)</f>
        <v>0</v>
      </c>
      <c r="H231" s="301"/>
      <c r="I231" s="301"/>
      <c r="J231" s="301"/>
      <c r="K231" s="301"/>
      <c r="L231" s="301"/>
      <c r="M231" s="305"/>
      <c r="N231" s="301"/>
      <c r="O231" s="301"/>
    </row>
    <row r="232" spans="1:15" x14ac:dyDescent="0.2">
      <c r="A232" s="292"/>
      <c r="B232" s="293"/>
      <c r="C232" s="121" t="s">
        <v>319</v>
      </c>
      <c r="D232" s="122"/>
      <c r="E232" s="122"/>
      <c r="F232" s="122"/>
      <c r="G232" s="123">
        <f>E200</f>
        <v>0</v>
      </c>
      <c r="H232" s="301"/>
      <c r="I232" s="301"/>
      <c r="J232" s="301"/>
      <c r="K232" s="301"/>
      <c r="L232" s="301"/>
      <c r="M232" s="305"/>
      <c r="N232" s="301"/>
      <c r="O232" s="301"/>
    </row>
    <row r="233" spans="1:15" x14ac:dyDescent="0.2">
      <c r="A233" s="292"/>
      <c r="B233" s="293"/>
      <c r="C233" s="121" t="s">
        <v>320</v>
      </c>
      <c r="D233" s="122"/>
      <c r="E233" s="122"/>
      <c r="F233" s="122"/>
      <c r="G233" s="123">
        <f>E207</f>
        <v>0</v>
      </c>
      <c r="H233" s="301"/>
      <c r="I233" s="301"/>
      <c r="J233" s="301"/>
      <c r="K233" s="301"/>
      <c r="L233" s="301"/>
      <c r="M233" s="305"/>
      <c r="N233" s="301"/>
      <c r="O233" s="301"/>
    </row>
    <row r="234" spans="1:15" x14ac:dyDescent="0.2">
      <c r="A234" s="292"/>
      <c r="B234" s="293"/>
      <c r="C234" s="121" t="s">
        <v>321</v>
      </c>
      <c r="D234" s="122"/>
      <c r="E234" s="122"/>
      <c r="F234" s="122"/>
      <c r="G234" s="123">
        <f>E214</f>
        <v>0</v>
      </c>
      <c r="H234" s="301"/>
      <c r="I234" s="301"/>
      <c r="J234" s="301"/>
      <c r="K234" s="301"/>
      <c r="L234" s="301"/>
      <c r="M234" s="305"/>
      <c r="N234" s="301"/>
      <c r="O234" s="301"/>
    </row>
    <row r="235" spans="1:15" ht="13.5" thickBot="1" x14ac:dyDescent="0.25">
      <c r="A235" s="292"/>
      <c r="B235" s="293"/>
      <c r="C235" s="124" t="s">
        <v>322</v>
      </c>
      <c r="D235" s="125"/>
      <c r="E235" s="125"/>
      <c r="F235" s="125"/>
      <c r="G235" s="126">
        <f>E221</f>
        <v>0</v>
      </c>
      <c r="H235" s="301"/>
      <c r="I235" s="301"/>
      <c r="J235" s="301"/>
      <c r="K235" s="301"/>
      <c r="L235" s="301"/>
      <c r="M235" s="305"/>
      <c r="N235" s="301"/>
      <c r="O235" s="301"/>
    </row>
    <row r="236" spans="1:15" ht="13.5" thickBot="1" x14ac:dyDescent="0.25">
      <c r="A236" s="292"/>
      <c r="B236" s="293"/>
      <c r="C236" s="127" t="s">
        <v>301</v>
      </c>
      <c r="D236" s="127"/>
      <c r="E236" s="127"/>
      <c r="F236" s="127"/>
      <c r="G236" s="128">
        <f>SUM(G226:G235)</f>
        <v>0</v>
      </c>
      <c r="H236" s="301"/>
      <c r="I236" s="301"/>
      <c r="J236" s="301"/>
      <c r="K236" s="301"/>
      <c r="L236" s="301"/>
      <c r="M236" s="305"/>
      <c r="N236" s="301"/>
      <c r="O236" s="301"/>
    </row>
    <row r="237" spans="1:15" ht="11.25" customHeight="1" x14ac:dyDescent="0.2">
      <c r="A237" s="292"/>
      <c r="B237" s="293"/>
      <c r="C237" s="317"/>
      <c r="D237" s="301"/>
      <c r="E237" s="301"/>
      <c r="F237" s="329"/>
      <c r="G237" s="329"/>
      <c r="H237" s="301"/>
      <c r="I237" s="301"/>
      <c r="J237" s="301"/>
      <c r="K237" s="301"/>
      <c r="L237" s="301"/>
      <c r="M237" s="305"/>
      <c r="N237" s="301"/>
      <c r="O237" s="301"/>
    </row>
    <row r="238" spans="1:15" ht="11.25" customHeight="1" x14ac:dyDescent="0.2">
      <c r="A238" s="292"/>
      <c r="B238" s="293"/>
      <c r="C238" s="355" t="s">
        <v>247</v>
      </c>
      <c r="D238" s="356"/>
      <c r="E238" s="356"/>
      <c r="F238" s="357"/>
      <c r="G238" s="357"/>
      <c r="H238" s="356"/>
      <c r="I238" s="356"/>
      <c r="J238" s="356"/>
      <c r="K238" s="356"/>
      <c r="L238" s="356"/>
      <c r="M238" s="358"/>
      <c r="N238" s="356"/>
      <c r="O238" s="301"/>
    </row>
    <row r="281" x14ac:dyDescent="0.2"/>
  </sheetData>
  <sheetProtection algorithmName="SHA-512" hashValue="jE76Yp67fmy3OFf8kyIDzjQgU43EVYfSFqO5/xSqO++r0VVUdFbwNveyov8b2YWugD3tiLyHw9HUZTbNLSml9g==" saltValue="AmFJugoWkQDutIj3lcTXdg==" spinCount="100000" sheet="1" objects="1" scenarios="1"/>
  <sortState xmlns:xlrd2="http://schemas.microsoft.com/office/spreadsheetml/2017/richdata2" ref="A3:A18">
    <sortCondition ref="A3:A18"/>
  </sortState>
  <mergeCells count="8">
    <mergeCell ref="F55:G55"/>
    <mergeCell ref="F63:G63"/>
    <mergeCell ref="F47:G47"/>
    <mergeCell ref="F7:G7"/>
    <mergeCell ref="F15:G15"/>
    <mergeCell ref="F23:G23"/>
    <mergeCell ref="F31:G31"/>
    <mergeCell ref="F39:G39"/>
  </mergeCells>
  <dataValidations count="3">
    <dataValidation type="list" allowBlank="1" showInputMessage="1" showErrorMessage="1" sqref="D114:D117 D96:D99 D120:D123 D84:D87 D108:D111 D90:D93 D102:D105 D78:D81" xr:uid="{00000000-0002-0000-0100-000000000000}">
      <formula1>$A$50:$A$54</formula1>
    </dataValidation>
    <dataValidation type="list" allowBlank="1" showInputMessage="1" showErrorMessage="1" sqref="F32:G37 F56:G61 F16:G21 F64:G69 F24:G29 F40:G45 F48:G53 F8:G13" xr:uid="{00000000-0002-0000-0100-000001000000}">
      <formula1>$A$56:$A$67</formula1>
    </dataValidation>
    <dataValidation type="list" allowBlank="1" showInputMessage="1" showErrorMessage="1" sqref="D214 D221 D156:D163 D172:D175 D184:D187" xr:uid="{00000000-0002-0000-0100-000002000000}">
      <formula1>$A$4:$A$36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S96"/>
  <sheetViews>
    <sheetView showGridLines="0" zoomScale="70" zoomScaleNormal="70" workbookViewId="0">
      <selection activeCell="C2" sqref="C2"/>
    </sheetView>
  </sheetViews>
  <sheetFormatPr defaultColWidth="0" defaultRowHeight="12.75" zeroHeight="1" x14ac:dyDescent="0.2"/>
  <cols>
    <col min="1" max="1" width="3.7109375" customWidth="1"/>
    <col min="2" max="2" width="4.28515625" customWidth="1"/>
    <col min="3" max="3" width="20.85546875" customWidth="1"/>
    <col min="4" max="5" width="9.140625" customWidth="1"/>
    <col min="6" max="6" width="4.28515625" customWidth="1"/>
    <col min="7" max="7" width="20.85546875" customWidth="1"/>
    <col min="8" max="10" width="9.140625" customWidth="1"/>
    <col min="11" max="11" width="20.85546875" customWidth="1"/>
    <col min="12" max="14" width="9.140625" customWidth="1"/>
    <col min="15" max="15" width="20.85546875" customWidth="1"/>
    <col min="16" max="17" width="9.140625" customWidth="1"/>
    <col min="18" max="18" width="3.28515625" customWidth="1"/>
    <col min="19" max="19" width="3.7109375" customWidth="1"/>
    <col min="20" max="16384" width="9.140625" hidden="1"/>
  </cols>
  <sheetData>
    <row r="1" spans="2:18" x14ac:dyDescent="0.2"/>
    <row r="2" spans="2:18" ht="23.25" x14ac:dyDescent="0.2">
      <c r="B2" s="104"/>
      <c r="C2" s="112" t="str">
        <f>"Sammanfattning VM Tips: "&amp;Tippa!C3</f>
        <v>Sammanfattning VM Tips: Mitt Namn: Jonathan Behr Mattsson</v>
      </c>
      <c r="D2" s="105"/>
      <c r="E2" s="105"/>
      <c r="F2" s="105"/>
      <c r="G2" s="105"/>
      <c r="H2" s="105"/>
      <c r="I2" s="105"/>
      <c r="J2" s="148" t="str">
        <f>Tippa!D3</f>
        <v>Alla kontroller i arket Tippa är OK</v>
      </c>
      <c r="K2" s="105"/>
      <c r="L2" s="105"/>
      <c r="M2" s="105"/>
      <c r="N2" s="105"/>
      <c r="O2" s="105"/>
      <c r="P2" s="105"/>
      <c r="Q2" s="105"/>
      <c r="R2" s="105"/>
    </row>
    <row r="3" spans="2:18" x14ac:dyDescent="0.2"/>
    <row r="4" spans="2:18" ht="13.5" thickBot="1" x14ac:dyDescent="0.25">
      <c r="C4" s="116" t="s">
        <v>300</v>
      </c>
      <c r="D4" s="30"/>
      <c r="E4" s="30"/>
      <c r="F4" s="30"/>
      <c r="G4" s="117" t="s">
        <v>288</v>
      </c>
      <c r="I4" s="30"/>
      <c r="J4" s="117" t="s">
        <v>298</v>
      </c>
    </row>
    <row r="5" spans="2:18" x14ac:dyDescent="0.2">
      <c r="C5" s="118" t="s">
        <v>313</v>
      </c>
      <c r="D5" s="119"/>
      <c r="E5" s="119"/>
      <c r="F5" s="119"/>
      <c r="G5" s="120">
        <f>SUM(D28:E29,H28:I29,L28:M29,P28:Q29,D43:E44,H43:I44,L43:M44,P43:Q44)</f>
        <v>0</v>
      </c>
      <c r="I5" s="30"/>
      <c r="J5" s="79">
        <f>IF(ABS(G5-Rätta!G226)&gt;0.01,1,0)</f>
        <v>0</v>
      </c>
    </row>
    <row r="6" spans="2:18" x14ac:dyDescent="0.2">
      <c r="C6" s="121" t="s">
        <v>314</v>
      </c>
      <c r="D6" s="122"/>
      <c r="E6" s="122"/>
      <c r="F6" s="122"/>
      <c r="G6" s="123">
        <f>SUM(D30:E30,H30:I30,L30:M30,P30:Q30,D45:E45,H45:I45,L45:M45,P45:Q45)</f>
        <v>0</v>
      </c>
      <c r="I6" s="30"/>
      <c r="J6" s="79">
        <f>IF(ABS(G6-Rätta!G227)&gt;0.01,1,0)</f>
        <v>0</v>
      </c>
    </row>
    <row r="7" spans="2:18" x14ac:dyDescent="0.2">
      <c r="C7" s="121" t="s">
        <v>316</v>
      </c>
      <c r="D7" s="122"/>
      <c r="E7" s="122"/>
      <c r="F7" s="122"/>
      <c r="G7" s="123">
        <f>E86</f>
        <v>0</v>
      </c>
      <c r="I7" s="30"/>
      <c r="J7" s="79">
        <f>IF(ABS(G7-Rätta!G228)&gt;0.01,1,0)</f>
        <v>0</v>
      </c>
    </row>
    <row r="8" spans="2:18" x14ac:dyDescent="0.2">
      <c r="C8" s="121" t="s">
        <v>315</v>
      </c>
      <c r="D8" s="122"/>
      <c r="E8" s="122"/>
      <c r="F8" s="122"/>
      <c r="G8" s="123">
        <f t="shared" ref="G8:G10" si="0">E87</f>
        <v>0</v>
      </c>
      <c r="I8" s="30"/>
      <c r="J8" s="79">
        <f>IF(ABS(G8-Rätta!G229)&gt;0.01,1,0)</f>
        <v>0</v>
      </c>
    </row>
    <row r="9" spans="2:18" x14ac:dyDescent="0.2">
      <c r="C9" s="121" t="s">
        <v>317</v>
      </c>
      <c r="D9" s="122"/>
      <c r="E9" s="122"/>
      <c r="F9" s="122"/>
      <c r="G9" s="123">
        <f t="shared" si="0"/>
        <v>0</v>
      </c>
      <c r="I9" s="30"/>
      <c r="J9" s="79">
        <f>IF(ABS(G9-Rätta!G230)&gt;0.01,1,0)</f>
        <v>0</v>
      </c>
    </row>
    <row r="10" spans="2:18" x14ac:dyDescent="0.2">
      <c r="C10" s="121" t="s">
        <v>318</v>
      </c>
      <c r="D10" s="122"/>
      <c r="E10" s="122"/>
      <c r="F10" s="122"/>
      <c r="G10" s="123">
        <f t="shared" si="0"/>
        <v>0</v>
      </c>
      <c r="I10" s="30"/>
      <c r="J10" s="79">
        <f>IF(ABS(G10-Rätta!G231)&gt;0.01,1,0)</f>
        <v>0</v>
      </c>
    </row>
    <row r="11" spans="2:18" x14ac:dyDescent="0.2">
      <c r="C11" s="121" t="s">
        <v>319</v>
      </c>
      <c r="D11" s="122"/>
      <c r="E11" s="122"/>
      <c r="F11" s="122"/>
      <c r="G11" s="123">
        <f>H89</f>
        <v>0</v>
      </c>
      <c r="I11" s="30"/>
      <c r="J11" s="79">
        <f>IF(ABS(G11-Rätta!G232)&gt;0.01,1,0)</f>
        <v>0</v>
      </c>
    </row>
    <row r="12" spans="2:18" x14ac:dyDescent="0.2">
      <c r="C12" s="121" t="s">
        <v>320</v>
      </c>
      <c r="D12" s="122"/>
      <c r="E12" s="122"/>
      <c r="F12" s="122"/>
      <c r="G12" s="123">
        <f>H92</f>
        <v>0</v>
      </c>
      <c r="I12" s="30"/>
      <c r="J12" s="79">
        <f>IF(ABS(G12-Rätta!G233)&gt;0.01,1,0)</f>
        <v>0</v>
      </c>
    </row>
    <row r="13" spans="2:18" x14ac:dyDescent="0.2">
      <c r="C13" s="121" t="s">
        <v>321</v>
      </c>
      <c r="D13" s="122"/>
      <c r="E13" s="122"/>
      <c r="F13" s="122"/>
      <c r="G13" s="123">
        <f>L87</f>
        <v>0</v>
      </c>
      <c r="I13" s="30"/>
      <c r="J13" s="79">
        <f>IF(ABS(G13-Rätta!G234)&gt;0.01,1,0)</f>
        <v>0</v>
      </c>
    </row>
    <row r="14" spans="2:18" ht="13.5" thickBot="1" x14ac:dyDescent="0.25">
      <c r="C14" s="124" t="s">
        <v>322</v>
      </c>
      <c r="D14" s="125"/>
      <c r="E14" s="125"/>
      <c r="F14" s="125"/>
      <c r="G14" s="126">
        <f>P87</f>
        <v>0</v>
      </c>
      <c r="I14" s="30"/>
      <c r="J14" s="79">
        <f>IF(ABS(G14-Rätta!G235)&gt;0.01,1,0)</f>
        <v>0</v>
      </c>
    </row>
    <row r="15" spans="2:18" ht="13.5" thickBot="1" x14ac:dyDescent="0.25">
      <c r="C15" s="127" t="s">
        <v>301</v>
      </c>
      <c r="D15" s="127"/>
      <c r="E15" s="127"/>
      <c r="F15" s="127"/>
      <c r="G15" s="128">
        <f>SUM(G5:G14)</f>
        <v>0</v>
      </c>
      <c r="I15" s="30"/>
      <c r="J15" s="130">
        <f>IF(ABS(G15-Rätta!G236)&gt;0.01,1,0)</f>
        <v>0</v>
      </c>
    </row>
    <row r="16" spans="2:18" x14ac:dyDescent="0.2"/>
    <row r="17" spans="2:18" x14ac:dyDescent="0.2"/>
    <row r="18" spans="2:18" ht="25.5" customHeight="1" x14ac:dyDescent="0.2">
      <c r="B18" s="104"/>
      <c r="C18" s="112" t="s">
        <v>270</v>
      </c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</row>
    <row r="19" spans="2:18" x14ac:dyDescent="0.2"/>
    <row r="20" spans="2:18" x14ac:dyDescent="0.2">
      <c r="C20" s="96" t="s">
        <v>276</v>
      </c>
      <c r="D20" s="378" t="s">
        <v>11</v>
      </c>
      <c r="E20" s="379"/>
      <c r="G20" s="96" t="s">
        <v>277</v>
      </c>
      <c r="H20" s="378" t="s">
        <v>11</v>
      </c>
      <c r="I20" s="379"/>
      <c r="K20" s="96" t="s">
        <v>279</v>
      </c>
      <c r="L20" s="378" t="s">
        <v>11</v>
      </c>
      <c r="M20" s="379"/>
      <c r="O20" s="96" t="s">
        <v>281</v>
      </c>
      <c r="P20" s="378" t="s">
        <v>11</v>
      </c>
      <c r="Q20" s="379"/>
    </row>
    <row r="21" spans="2:18" ht="13.5" thickBot="1" x14ac:dyDescent="0.25">
      <c r="C21" s="97" t="s">
        <v>272</v>
      </c>
      <c r="D21" s="94" t="s">
        <v>271</v>
      </c>
      <c r="E21" s="95" t="s">
        <v>181</v>
      </c>
      <c r="G21" s="97" t="s">
        <v>272</v>
      </c>
      <c r="H21" s="94" t="s">
        <v>271</v>
      </c>
      <c r="I21" s="95" t="s">
        <v>181</v>
      </c>
      <c r="K21" s="97" t="s">
        <v>272</v>
      </c>
      <c r="L21" s="94" t="s">
        <v>271</v>
      </c>
      <c r="M21" s="95" t="s">
        <v>181</v>
      </c>
      <c r="O21" s="97" t="s">
        <v>272</v>
      </c>
      <c r="P21" s="94" t="s">
        <v>271</v>
      </c>
      <c r="Q21" s="95" t="s">
        <v>181</v>
      </c>
    </row>
    <row r="22" spans="2:18" ht="33" customHeight="1" x14ac:dyDescent="0.2">
      <c r="D22" s="106">
        <f>Beräkningar!AO4</f>
        <v>4</v>
      </c>
      <c r="E22" s="107">
        <f>Rätta!E78</f>
        <v>0</v>
      </c>
      <c r="H22" s="106">
        <f>Beräkningar!AO9</f>
        <v>1</v>
      </c>
      <c r="I22" s="107">
        <f>Rätta!E84</f>
        <v>0</v>
      </c>
      <c r="L22" s="106">
        <f>Beräkningar!AO14</f>
        <v>1</v>
      </c>
      <c r="M22" s="107">
        <f>Rätta!E90</f>
        <v>0</v>
      </c>
      <c r="P22" s="106">
        <f>Beräkningar!AO19</f>
        <v>1</v>
      </c>
      <c r="Q22" s="107">
        <f>Rätta!E96</f>
        <v>0</v>
      </c>
    </row>
    <row r="23" spans="2:18" ht="33" customHeight="1" x14ac:dyDescent="0.2">
      <c r="D23" s="108">
        <f>Beräkningar!AO5</f>
        <v>3</v>
      </c>
      <c r="E23" s="109">
        <f>Rätta!E79</f>
        <v>0</v>
      </c>
      <c r="H23" s="108">
        <f>Beräkningar!AO10</f>
        <v>4</v>
      </c>
      <c r="I23" s="109">
        <f>Rätta!E85</f>
        <v>0</v>
      </c>
      <c r="L23" s="108">
        <f>Beräkningar!AO15</f>
        <v>4</v>
      </c>
      <c r="M23" s="109">
        <f>Rätta!E91</f>
        <v>0</v>
      </c>
      <c r="P23" s="108">
        <f>Beräkningar!AO20</f>
        <v>4</v>
      </c>
      <c r="Q23" s="109">
        <f>Rätta!E97</f>
        <v>0</v>
      </c>
    </row>
    <row r="24" spans="2:18" ht="33" customHeight="1" x14ac:dyDescent="0.2">
      <c r="D24" s="108">
        <f>Beräkningar!AO6</f>
        <v>2</v>
      </c>
      <c r="E24" s="109">
        <f>Rätta!E80</f>
        <v>0</v>
      </c>
      <c r="H24" s="108">
        <f>Beräkningar!AO11</f>
        <v>2</v>
      </c>
      <c r="I24" s="109">
        <f>Rätta!E86</f>
        <v>0</v>
      </c>
      <c r="L24" s="108">
        <f>Beräkningar!AO16</f>
        <v>2</v>
      </c>
      <c r="M24" s="109">
        <f>Rätta!E92</f>
        <v>0</v>
      </c>
      <c r="P24" s="108">
        <f>Beräkningar!AO21</f>
        <v>2</v>
      </c>
      <c r="Q24" s="109">
        <f>Rätta!E98</f>
        <v>0</v>
      </c>
    </row>
    <row r="25" spans="2:18" ht="33" customHeight="1" thickBot="1" x14ac:dyDescent="0.25">
      <c r="D25" s="110">
        <f>Beräkningar!AO7</f>
        <v>1</v>
      </c>
      <c r="E25" s="111">
        <f>Rätta!E81</f>
        <v>0</v>
      </c>
      <c r="H25" s="110">
        <f>Beräkningar!AO12</f>
        <v>3</v>
      </c>
      <c r="I25" s="111">
        <f>Rätta!E87</f>
        <v>0</v>
      </c>
      <c r="L25" s="110">
        <f>Beräkningar!AO17</f>
        <v>3</v>
      </c>
      <c r="M25" s="111">
        <f>Rätta!E93</f>
        <v>0</v>
      </c>
      <c r="P25" s="110">
        <f>Beräkningar!AO22</f>
        <v>3</v>
      </c>
      <c r="Q25" s="111">
        <f>Rätta!E99</f>
        <v>0</v>
      </c>
    </row>
    <row r="26" spans="2:18" ht="5.0999999999999996" customHeight="1" x14ac:dyDescent="0.2"/>
    <row r="27" spans="2:18" ht="13.5" customHeight="1" x14ac:dyDescent="0.2">
      <c r="C27" s="102" t="s">
        <v>276</v>
      </c>
      <c r="D27" s="103" t="s">
        <v>181</v>
      </c>
      <c r="E27" s="103" t="s">
        <v>265</v>
      </c>
      <c r="G27" s="102" t="s">
        <v>277</v>
      </c>
      <c r="H27" s="103" t="s">
        <v>181</v>
      </c>
      <c r="I27" s="103" t="s">
        <v>265</v>
      </c>
      <c r="K27" s="102" t="s">
        <v>279</v>
      </c>
      <c r="L27" s="103" t="s">
        <v>181</v>
      </c>
      <c r="M27" s="103" t="s">
        <v>265</v>
      </c>
      <c r="O27" s="102" t="s">
        <v>281</v>
      </c>
      <c r="P27" s="103" t="s">
        <v>181</v>
      </c>
      <c r="Q27" s="103" t="s">
        <v>265</v>
      </c>
    </row>
    <row r="28" spans="2:18" x14ac:dyDescent="0.2">
      <c r="C28" s="100" t="s">
        <v>3</v>
      </c>
      <c r="D28" s="101">
        <f>SUM(Rätta!H8:H13)</f>
        <v>0</v>
      </c>
      <c r="E28" s="101">
        <f>Rätta!J8</f>
        <v>0</v>
      </c>
      <c r="G28" s="100" t="s">
        <v>3</v>
      </c>
      <c r="H28" s="101">
        <f>SUM(Rätta!H16:H21)</f>
        <v>0</v>
      </c>
      <c r="I28" s="101">
        <f>Rätta!J16</f>
        <v>0</v>
      </c>
      <c r="K28" s="100" t="s">
        <v>3</v>
      </c>
      <c r="L28" s="101">
        <f>SUM(Rätta!H24:H29)</f>
        <v>0</v>
      </c>
      <c r="M28" s="101">
        <f>Rätta!J24</f>
        <v>0</v>
      </c>
      <c r="O28" s="100" t="s">
        <v>3</v>
      </c>
      <c r="P28" s="101">
        <f>SUM(Rätta!H32:H37)</f>
        <v>0</v>
      </c>
      <c r="Q28" s="101">
        <f>Rätta!J32</f>
        <v>0</v>
      </c>
    </row>
    <row r="29" spans="2:18" x14ac:dyDescent="0.2">
      <c r="C29" s="100" t="s">
        <v>273</v>
      </c>
      <c r="D29" s="101">
        <f>SUM(Rätta!E8:E13)</f>
        <v>0</v>
      </c>
      <c r="E29" s="101">
        <f>Rätta!J9</f>
        <v>0</v>
      </c>
      <c r="G29" s="100" t="s">
        <v>273</v>
      </c>
      <c r="H29" s="101">
        <f>SUM(Rätta!E16:E21)</f>
        <v>0</v>
      </c>
      <c r="I29" s="101">
        <f>Rätta!J17</f>
        <v>0</v>
      </c>
      <c r="K29" s="100" t="s">
        <v>273</v>
      </c>
      <c r="L29" s="101">
        <f>SUM(Rätta!E24:E29)</f>
        <v>0</v>
      </c>
      <c r="M29" s="101">
        <f>Rätta!J25</f>
        <v>0</v>
      </c>
      <c r="O29" s="100" t="s">
        <v>273</v>
      </c>
      <c r="P29" s="101">
        <f>SUM(Rätta!E32:E37)</f>
        <v>0</v>
      </c>
      <c r="Q29" s="101">
        <f>Rätta!J33</f>
        <v>0</v>
      </c>
    </row>
    <row r="30" spans="2:18" x14ac:dyDescent="0.2">
      <c r="C30" s="100" t="s">
        <v>274</v>
      </c>
      <c r="D30" s="101">
        <f>SUM(E22:E25)</f>
        <v>0</v>
      </c>
      <c r="E30" s="101">
        <f>Rätta!J78</f>
        <v>0</v>
      </c>
      <c r="G30" s="100" t="s">
        <v>274</v>
      </c>
      <c r="H30" s="101">
        <f>SUM(I22:I25)</f>
        <v>0</v>
      </c>
      <c r="I30" s="101">
        <f>Rätta!J84</f>
        <v>0</v>
      </c>
      <c r="K30" s="100" t="s">
        <v>274</v>
      </c>
      <c r="L30" s="101">
        <f>SUM(M22:M25)</f>
        <v>0</v>
      </c>
      <c r="M30" s="101">
        <f>Rätta!J90</f>
        <v>0</v>
      </c>
      <c r="O30" s="100" t="s">
        <v>274</v>
      </c>
      <c r="P30" s="101">
        <f>SUM(Q22:Q25)</f>
        <v>0</v>
      </c>
      <c r="Q30" s="101">
        <f>Rätta!J96</f>
        <v>0</v>
      </c>
    </row>
    <row r="31" spans="2:18" ht="5.0999999999999996" customHeight="1" x14ac:dyDescent="0.2"/>
    <row r="32" spans="2:18" ht="16.5" thickBot="1" x14ac:dyDescent="0.3">
      <c r="C32" s="98" t="s">
        <v>275</v>
      </c>
      <c r="D32" s="99">
        <f>SUM(D28:E30)</f>
        <v>0</v>
      </c>
      <c r="G32" s="98" t="s">
        <v>278</v>
      </c>
      <c r="H32" s="99">
        <f>SUM(H28:I30)</f>
        <v>0</v>
      </c>
      <c r="K32" s="98" t="s">
        <v>280</v>
      </c>
      <c r="L32" s="99">
        <f>SUM(L28:M30)</f>
        <v>0</v>
      </c>
      <c r="O32" s="98" t="s">
        <v>282</v>
      </c>
      <c r="P32" s="99">
        <f>SUM(P28:Q30)</f>
        <v>0</v>
      </c>
    </row>
    <row r="33" spans="3:17" ht="13.5" thickTop="1" x14ac:dyDescent="0.2"/>
    <row r="34" spans="3:17" x14ac:dyDescent="0.2"/>
    <row r="35" spans="3:17" x14ac:dyDescent="0.2">
      <c r="C35" s="96" t="s">
        <v>19</v>
      </c>
      <c r="D35" s="378" t="s">
        <v>11</v>
      </c>
      <c r="E35" s="379"/>
      <c r="G35" s="96" t="s">
        <v>29</v>
      </c>
      <c r="H35" s="378" t="s">
        <v>11</v>
      </c>
      <c r="I35" s="379"/>
      <c r="K35" s="96" t="s">
        <v>156</v>
      </c>
      <c r="L35" s="378" t="s">
        <v>11</v>
      </c>
      <c r="M35" s="379"/>
      <c r="O35" s="96" t="s">
        <v>249</v>
      </c>
      <c r="P35" s="378" t="s">
        <v>11</v>
      </c>
      <c r="Q35" s="379"/>
    </row>
    <row r="36" spans="3:17" ht="13.5" thickBot="1" x14ac:dyDescent="0.25">
      <c r="C36" s="97" t="s">
        <v>272</v>
      </c>
      <c r="D36" s="94" t="s">
        <v>271</v>
      </c>
      <c r="E36" s="95" t="s">
        <v>181</v>
      </c>
      <c r="G36" s="97" t="s">
        <v>272</v>
      </c>
      <c r="H36" s="94" t="s">
        <v>271</v>
      </c>
      <c r="I36" s="95" t="s">
        <v>181</v>
      </c>
      <c r="K36" s="97" t="s">
        <v>272</v>
      </c>
      <c r="L36" s="94" t="s">
        <v>271</v>
      </c>
      <c r="M36" s="95" t="s">
        <v>181</v>
      </c>
      <c r="O36" s="97" t="s">
        <v>272</v>
      </c>
      <c r="P36" s="94" t="s">
        <v>271</v>
      </c>
      <c r="Q36" s="95" t="s">
        <v>181</v>
      </c>
    </row>
    <row r="37" spans="3:17" ht="33" customHeight="1" x14ac:dyDescent="0.2">
      <c r="D37" s="106">
        <f>Beräkningar!AO24</f>
        <v>2</v>
      </c>
      <c r="E37" s="107">
        <f>Rätta!E102</f>
        <v>0</v>
      </c>
      <c r="H37" s="106">
        <f>Beräkningar!AO29</f>
        <v>1</v>
      </c>
      <c r="I37" s="107">
        <f>Rätta!E108</f>
        <v>0</v>
      </c>
      <c r="L37" s="106">
        <f>Beräkningar!AO34</f>
        <v>1</v>
      </c>
      <c r="M37" s="107">
        <f>Rätta!E114</f>
        <v>0</v>
      </c>
      <c r="P37" s="106">
        <f>Beräkningar!AO39</f>
        <v>1</v>
      </c>
      <c r="Q37" s="107">
        <f>Rätta!E120</f>
        <v>0</v>
      </c>
    </row>
    <row r="38" spans="3:17" ht="33" customHeight="1" x14ac:dyDescent="0.2">
      <c r="D38" s="108">
        <f>Beräkningar!AO25</f>
        <v>4</v>
      </c>
      <c r="E38" s="109">
        <f>Rätta!E103</f>
        <v>0</v>
      </c>
      <c r="H38" s="108">
        <f>Beräkningar!AO30</f>
        <v>4</v>
      </c>
      <c r="I38" s="109">
        <f>Rätta!E109</f>
        <v>0</v>
      </c>
      <c r="L38" s="108">
        <f>Beräkningar!AO35</f>
        <v>4</v>
      </c>
      <c r="M38" s="109">
        <f>Rätta!E115</f>
        <v>0</v>
      </c>
      <c r="P38" s="108">
        <f>Beräkningar!AO40</f>
        <v>3</v>
      </c>
      <c r="Q38" s="109">
        <f>Rätta!E121</f>
        <v>0</v>
      </c>
    </row>
    <row r="39" spans="3:17" ht="33" customHeight="1" x14ac:dyDescent="0.2">
      <c r="D39" s="108">
        <f>Beräkningar!AO26</f>
        <v>1</v>
      </c>
      <c r="E39" s="109">
        <f>Rätta!E104</f>
        <v>0</v>
      </c>
      <c r="H39" s="108">
        <f>Beräkningar!AO31</f>
        <v>3</v>
      </c>
      <c r="I39" s="109">
        <f>Rätta!E110</f>
        <v>0</v>
      </c>
      <c r="L39" s="108">
        <f>Beräkningar!AO36</f>
        <v>3</v>
      </c>
      <c r="M39" s="109">
        <f>Rätta!E116</f>
        <v>0</v>
      </c>
      <c r="P39" s="108">
        <f>Beräkningar!AO41</f>
        <v>2</v>
      </c>
      <c r="Q39" s="109">
        <f>Rätta!E122</f>
        <v>0</v>
      </c>
    </row>
    <row r="40" spans="3:17" ht="33" customHeight="1" thickBot="1" x14ac:dyDescent="0.25">
      <c r="D40" s="110">
        <f>Beräkningar!AO27</f>
        <v>3</v>
      </c>
      <c r="E40" s="111">
        <f>Rätta!E105</f>
        <v>0</v>
      </c>
      <c r="H40" s="110">
        <f>Beräkningar!AO32</f>
        <v>2</v>
      </c>
      <c r="I40" s="111">
        <f>Rätta!E111</f>
        <v>0</v>
      </c>
      <c r="L40" s="110">
        <f>Beräkningar!AO37</f>
        <v>2</v>
      </c>
      <c r="M40" s="111">
        <f>Rätta!E117</f>
        <v>0</v>
      </c>
      <c r="P40" s="110">
        <f>Beräkningar!AO42</f>
        <v>4</v>
      </c>
      <c r="Q40" s="111">
        <f>Rätta!E123</f>
        <v>0</v>
      </c>
    </row>
    <row r="41" spans="3:17" ht="5.0999999999999996" customHeight="1" x14ac:dyDescent="0.2"/>
    <row r="42" spans="3:17" x14ac:dyDescent="0.2">
      <c r="C42" s="102" t="s">
        <v>19</v>
      </c>
      <c r="D42" s="103" t="s">
        <v>181</v>
      </c>
      <c r="E42" s="103" t="s">
        <v>265</v>
      </c>
      <c r="G42" s="102" t="s">
        <v>29</v>
      </c>
      <c r="H42" s="103" t="s">
        <v>181</v>
      </c>
      <c r="I42" s="103" t="s">
        <v>265</v>
      </c>
      <c r="K42" s="102" t="s">
        <v>156</v>
      </c>
      <c r="L42" s="103" t="s">
        <v>181</v>
      </c>
      <c r="M42" s="103" t="s">
        <v>265</v>
      </c>
      <c r="O42" s="102" t="s">
        <v>249</v>
      </c>
      <c r="P42" s="103" t="s">
        <v>181</v>
      </c>
      <c r="Q42" s="103" t="s">
        <v>265</v>
      </c>
    </row>
    <row r="43" spans="3:17" x14ac:dyDescent="0.2">
      <c r="C43" s="100" t="s">
        <v>3</v>
      </c>
      <c r="D43" s="101">
        <f>SUM(Rätta!H40:H45)</f>
        <v>0</v>
      </c>
      <c r="E43" s="101">
        <f>Rätta!J40</f>
        <v>0</v>
      </c>
      <c r="G43" s="100" t="s">
        <v>3</v>
      </c>
      <c r="H43" s="101">
        <f>SUM(Rätta!H48:H53)</f>
        <v>0</v>
      </c>
      <c r="I43" s="101">
        <f>Rätta!J48</f>
        <v>0</v>
      </c>
      <c r="K43" s="100" t="s">
        <v>3</v>
      </c>
      <c r="L43" s="101">
        <f>SUM(Rätta!H56:H61)</f>
        <v>0</v>
      </c>
      <c r="M43" s="101">
        <f>Rätta!J56</f>
        <v>0</v>
      </c>
      <c r="O43" s="100" t="s">
        <v>3</v>
      </c>
      <c r="P43" s="101">
        <f>SUM(Rätta!H64:H69)</f>
        <v>0</v>
      </c>
      <c r="Q43" s="101">
        <f>Rätta!J64</f>
        <v>0</v>
      </c>
    </row>
    <row r="44" spans="3:17" x14ac:dyDescent="0.2">
      <c r="C44" s="100" t="s">
        <v>273</v>
      </c>
      <c r="D44" s="101">
        <f>SUM(Rätta!E40:E45)</f>
        <v>0</v>
      </c>
      <c r="E44" s="101">
        <f>Rätta!J41</f>
        <v>0</v>
      </c>
      <c r="G44" s="100" t="s">
        <v>273</v>
      </c>
      <c r="H44" s="101">
        <f>SUM(Rätta!E48:E53)</f>
        <v>0</v>
      </c>
      <c r="I44" s="101">
        <f>Rätta!J49</f>
        <v>0</v>
      </c>
      <c r="K44" s="100" t="s">
        <v>273</v>
      </c>
      <c r="L44" s="101">
        <f>SUM(Rätta!E56:E61)</f>
        <v>0</v>
      </c>
      <c r="M44" s="101">
        <f>Rätta!J57</f>
        <v>0</v>
      </c>
      <c r="O44" s="100" t="s">
        <v>273</v>
      </c>
      <c r="P44" s="101">
        <f>SUM(Rätta!E64:E69)</f>
        <v>0</v>
      </c>
      <c r="Q44" s="101">
        <f>Rätta!J65</f>
        <v>0</v>
      </c>
    </row>
    <row r="45" spans="3:17" x14ac:dyDescent="0.2">
      <c r="C45" s="100" t="s">
        <v>11</v>
      </c>
      <c r="D45" s="101">
        <f>SUM(E37:E40)</f>
        <v>0</v>
      </c>
      <c r="E45" s="101">
        <f>Rätta!J102</f>
        <v>0</v>
      </c>
      <c r="G45" s="100" t="s">
        <v>274</v>
      </c>
      <c r="H45" s="101">
        <f>SUM(I37:I40)</f>
        <v>0</v>
      </c>
      <c r="I45" s="101">
        <f>Rätta!J108</f>
        <v>0</v>
      </c>
      <c r="K45" s="100" t="s">
        <v>274</v>
      </c>
      <c r="L45" s="101">
        <f>SUM(M37:M40)</f>
        <v>0</v>
      </c>
      <c r="M45" s="101">
        <f>Rätta!J114</f>
        <v>0</v>
      </c>
      <c r="O45" s="100" t="s">
        <v>274</v>
      </c>
      <c r="P45" s="101">
        <f>SUM(Q37:Q40)</f>
        <v>0</v>
      </c>
      <c r="Q45" s="101">
        <f>Rätta!J120</f>
        <v>0</v>
      </c>
    </row>
    <row r="46" spans="3:17" ht="5.0999999999999996" customHeight="1" x14ac:dyDescent="0.2"/>
    <row r="47" spans="3:17" ht="16.5" thickBot="1" x14ac:dyDescent="0.3">
      <c r="C47" s="98" t="s">
        <v>283</v>
      </c>
      <c r="D47" s="99">
        <f>SUM(D43:E45)</f>
        <v>0</v>
      </c>
      <c r="G47" s="98" t="s">
        <v>284</v>
      </c>
      <c r="H47" s="99">
        <f>SUM(H43:I45)</f>
        <v>0</v>
      </c>
      <c r="K47" s="98" t="s">
        <v>285</v>
      </c>
      <c r="L47" s="99">
        <f>SUM(L43:M45)</f>
        <v>0</v>
      </c>
      <c r="O47" s="98" t="s">
        <v>286</v>
      </c>
      <c r="P47" s="99">
        <f>SUM(P43:Q45)</f>
        <v>0</v>
      </c>
    </row>
    <row r="48" spans="3:17" ht="13.5" thickTop="1" x14ac:dyDescent="0.2"/>
    <row r="49" spans="2:18" x14ac:dyDescent="0.2"/>
    <row r="50" spans="2:18" ht="25.5" customHeight="1" x14ac:dyDescent="0.2">
      <c r="B50" s="104"/>
      <c r="C50" s="112" t="s">
        <v>287</v>
      </c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</row>
    <row r="51" spans="2:18" x14ac:dyDescent="0.2"/>
    <row r="52" spans="2:18" x14ac:dyDescent="0.2"/>
    <row r="53" spans="2:18" x14ac:dyDescent="0.2"/>
    <row r="54" spans="2:18" x14ac:dyDescent="0.2"/>
    <row r="55" spans="2:18" x14ac:dyDescent="0.2"/>
    <row r="56" spans="2:18" x14ac:dyDescent="0.2"/>
    <row r="57" spans="2:18" x14ac:dyDescent="0.2"/>
    <row r="58" spans="2:18" x14ac:dyDescent="0.2"/>
    <row r="59" spans="2:18" x14ac:dyDescent="0.2"/>
    <row r="60" spans="2:18" x14ac:dyDescent="0.2"/>
    <row r="61" spans="2:18" x14ac:dyDescent="0.2"/>
    <row r="62" spans="2:18" x14ac:dyDescent="0.2"/>
    <row r="63" spans="2:18" x14ac:dyDescent="0.2"/>
    <row r="64" spans="2:18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spans="2:18" x14ac:dyDescent="0.2"/>
    <row r="82" spans="2:18" x14ac:dyDescent="0.2"/>
    <row r="83" spans="2:18" x14ac:dyDescent="0.2"/>
    <row r="84" spans="2:18" x14ac:dyDescent="0.2">
      <c r="C84" s="96" t="s">
        <v>326</v>
      </c>
      <c r="D84" s="378" t="s">
        <v>11</v>
      </c>
      <c r="E84" s="379"/>
      <c r="G84" s="374" t="s">
        <v>327</v>
      </c>
      <c r="K84" s="374" t="s">
        <v>331</v>
      </c>
      <c r="O84" s="376" t="s">
        <v>332</v>
      </c>
    </row>
    <row r="85" spans="2:18" ht="13.5" thickBot="1" x14ac:dyDescent="0.25">
      <c r="C85" s="97" t="s">
        <v>300</v>
      </c>
      <c r="D85" s="133" t="s">
        <v>340</v>
      </c>
      <c r="E85" s="134" t="s">
        <v>181</v>
      </c>
      <c r="G85" s="375"/>
      <c r="K85" s="375"/>
      <c r="O85" s="377"/>
    </row>
    <row r="86" spans="2:18" ht="13.5" thickBot="1" x14ac:dyDescent="0.25">
      <c r="C86" s="135" t="s">
        <v>323</v>
      </c>
      <c r="D86" s="136">
        <f>COUNTIF(Rätta!$E$132:$E$147,Rätta!$A$106)</f>
        <v>0</v>
      </c>
      <c r="E86" s="144">
        <f>Rätta!E149+Rätta!J149</f>
        <v>0</v>
      </c>
      <c r="G86" s="100" t="str">
        <f>Tippa!P66</f>
        <v>Mbappé</v>
      </c>
      <c r="H86" s="142" t="s">
        <v>329</v>
      </c>
      <c r="K86" s="100" t="str">
        <f>Tippa!P52</f>
        <v>Tunisien</v>
      </c>
      <c r="L86" s="142"/>
      <c r="O86" s="100" t="str">
        <f>Tippa!P59</f>
        <v>Qatar</v>
      </c>
      <c r="P86" s="142"/>
    </row>
    <row r="87" spans="2:18" ht="13.5" thickBot="1" x14ac:dyDescent="0.25">
      <c r="C87" s="137" t="s">
        <v>324</v>
      </c>
      <c r="D87" s="138">
        <f>COUNTIF(Rätta!$E$156:$E$163,Rätta!A83)</f>
        <v>0</v>
      </c>
      <c r="E87" s="145">
        <f>Rätta!E165+Rätta!J165</f>
        <v>0</v>
      </c>
      <c r="G87" s="100" t="str">
        <f>Tippa!P67</f>
        <v>Messi</v>
      </c>
      <c r="H87" s="142" t="s">
        <v>328</v>
      </c>
      <c r="K87" s="141" t="s">
        <v>197</v>
      </c>
      <c r="L87" s="143">
        <f>Rätta!E214</f>
        <v>0</v>
      </c>
      <c r="O87" s="141" t="s">
        <v>197</v>
      </c>
      <c r="P87" s="143">
        <f>Rätta!E221</f>
        <v>0</v>
      </c>
    </row>
    <row r="88" spans="2:18" ht="13.5" thickBot="1" x14ac:dyDescent="0.25">
      <c r="C88" s="137" t="s">
        <v>325</v>
      </c>
      <c r="D88" s="138">
        <f>COUNTIF(Rätta!E172:E175,Rätta!A86)</f>
        <v>0</v>
      </c>
      <c r="E88" s="145">
        <f>Rätta!E177+Rätta!J177</f>
        <v>0</v>
      </c>
      <c r="G88" s="100" t="str">
        <f>Tippa!P68</f>
        <v>Kane</v>
      </c>
      <c r="H88" s="142" t="s">
        <v>328</v>
      </c>
    </row>
    <row r="89" spans="2:18" ht="13.5" thickBot="1" x14ac:dyDescent="0.25">
      <c r="C89" s="139" t="s">
        <v>269</v>
      </c>
      <c r="D89" s="140">
        <f>COUNTIF(Rätta!E184:E187,SUM(Rätta!A89:A90))</f>
        <v>0</v>
      </c>
      <c r="E89" s="146">
        <f>Rätta!E189+Rätta!J189</f>
        <v>0</v>
      </c>
      <c r="G89" s="141" t="s">
        <v>197</v>
      </c>
      <c r="H89" s="143">
        <f>Rätta!E200</f>
        <v>0</v>
      </c>
    </row>
    <row r="90" spans="2:18" x14ac:dyDescent="0.2"/>
    <row r="91" spans="2:18" ht="13.5" thickBot="1" x14ac:dyDescent="0.25">
      <c r="G91" s="100" t="str">
        <f>Tippa!P45</f>
        <v>Valencia</v>
      </c>
      <c r="H91" s="142" t="s">
        <v>330</v>
      </c>
    </row>
    <row r="92" spans="2:18" ht="13.5" thickBot="1" x14ac:dyDescent="0.25">
      <c r="G92" s="141" t="s">
        <v>197</v>
      </c>
      <c r="H92" s="143">
        <f>Rätta!E207</f>
        <v>0</v>
      </c>
    </row>
    <row r="93" spans="2:18" x14ac:dyDescent="0.2"/>
    <row r="94" spans="2:18" x14ac:dyDescent="0.2"/>
    <row r="95" spans="2:18" ht="23.25" x14ac:dyDescent="0.2">
      <c r="B95" s="113"/>
      <c r="C95" s="114" t="s">
        <v>247</v>
      </c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</row>
    <row r="96" spans="2:18" x14ac:dyDescent="0.2"/>
  </sheetData>
  <sheetProtection algorithmName="SHA-512" hashValue="dtSrriF5G2Jn8BWGh52NaLPEYdlBVTBzb+xQwF6cBHRaoQwJks4Q4y0tp979AU5Hsd65jR7SUmQcZfi6ATMm+Q==" saltValue="33gnTyN84HmGJ+CNMy3rYg==" spinCount="100000" sheet="1" objects="1" scenarios="1"/>
  <mergeCells count="12">
    <mergeCell ref="P35:Q35"/>
    <mergeCell ref="D20:E20"/>
    <mergeCell ref="H20:I20"/>
    <mergeCell ref="L20:M20"/>
    <mergeCell ref="P20:Q20"/>
    <mergeCell ref="G84:G85"/>
    <mergeCell ref="K84:K85"/>
    <mergeCell ref="O84:O85"/>
    <mergeCell ref="D84:E84"/>
    <mergeCell ref="D35:E35"/>
    <mergeCell ref="H35:I35"/>
    <mergeCell ref="L35:M35"/>
  </mergeCells>
  <pageMargins left="0.7" right="0.7" top="0.75" bottom="0.75" header="0.3" footer="0.3"/>
  <pageSetup paperSize="9" orientation="portrait" r:id="rId1"/>
  <ignoredErrors>
    <ignoredError sqref="D89" formulaRange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A122"/>
  <sheetViews>
    <sheetView zoomScale="70" zoomScaleNormal="70" workbookViewId="0">
      <selection activeCell="B44" sqref="B44:K47"/>
    </sheetView>
  </sheetViews>
  <sheetFormatPr defaultColWidth="9.140625" defaultRowHeight="12.75" x14ac:dyDescent="0.2"/>
  <cols>
    <col min="3" max="3" width="19.140625" customWidth="1"/>
    <col min="4" max="4" width="35.28515625" customWidth="1"/>
    <col min="7" max="7" width="13.140625" bestFit="1" customWidth="1"/>
    <col min="12" max="12" width="10.85546875" bestFit="1" customWidth="1"/>
    <col min="14" max="14" width="16.28515625" bestFit="1" customWidth="1"/>
    <col min="20" max="23" width="11.140625" customWidth="1"/>
    <col min="27" max="27" width="10.140625" bestFit="1" customWidth="1"/>
    <col min="28" max="41" width="10.140625" customWidth="1"/>
    <col min="43" max="45" width="18.42578125" customWidth="1"/>
    <col min="46" max="47" width="10.7109375" customWidth="1"/>
    <col min="51" max="51" width="85" bestFit="1" customWidth="1"/>
  </cols>
  <sheetData>
    <row r="2" spans="2:53" x14ac:dyDescent="0.2">
      <c r="AF2" s="380" t="s">
        <v>224</v>
      </c>
      <c r="AG2" s="380"/>
      <c r="AH2" s="380"/>
      <c r="AI2" s="380"/>
      <c r="AJ2" s="380"/>
      <c r="AL2" s="77"/>
      <c r="AM2" s="77"/>
    </row>
    <row r="3" spans="2:53" ht="13.5" thickBot="1" x14ac:dyDescent="0.25">
      <c r="B3" s="381" t="s">
        <v>179</v>
      </c>
      <c r="C3" s="381"/>
      <c r="D3" s="381"/>
      <c r="E3" s="381"/>
      <c r="F3" s="381"/>
      <c r="G3" s="381"/>
      <c r="H3" s="381"/>
      <c r="I3" s="381"/>
      <c r="J3" s="381"/>
      <c r="K3" s="381"/>
      <c r="N3" s="8" t="s">
        <v>138</v>
      </c>
      <c r="P3" s="8" t="s">
        <v>181</v>
      </c>
      <c r="Q3" s="29" t="s">
        <v>194</v>
      </c>
      <c r="R3" s="29" t="s">
        <v>195</v>
      </c>
      <c r="S3" s="29" t="s">
        <v>182</v>
      </c>
      <c r="T3" s="29" t="s">
        <v>183</v>
      </c>
      <c r="U3" s="29" t="s">
        <v>192</v>
      </c>
      <c r="V3" s="29" t="s">
        <v>193</v>
      </c>
      <c r="W3" s="29" t="s">
        <v>198</v>
      </c>
      <c r="X3" s="382" t="s">
        <v>192</v>
      </c>
      <c r="Y3" s="382"/>
      <c r="Z3" s="382"/>
      <c r="AA3" s="382" t="s">
        <v>193</v>
      </c>
      <c r="AB3" s="382"/>
      <c r="AC3" s="382"/>
      <c r="AD3" s="29" t="s">
        <v>196</v>
      </c>
      <c r="AF3" s="8" t="s">
        <v>11</v>
      </c>
      <c r="AG3" s="8" t="s">
        <v>10</v>
      </c>
      <c r="AH3" s="8" t="s">
        <v>197</v>
      </c>
      <c r="AI3" s="29" t="s">
        <v>182</v>
      </c>
      <c r="AJ3" s="29" t="s">
        <v>194</v>
      </c>
      <c r="AL3" s="29" t="s">
        <v>221</v>
      </c>
      <c r="AM3" s="29" t="s">
        <v>222</v>
      </c>
      <c r="AN3" s="29" t="s">
        <v>223</v>
      </c>
      <c r="AO3" s="29" t="s">
        <v>271</v>
      </c>
    </row>
    <row r="4" spans="2:53" x14ac:dyDescent="0.2">
      <c r="B4" s="9" t="s">
        <v>352</v>
      </c>
      <c r="C4" s="10">
        <v>0.70833333333333337</v>
      </c>
      <c r="D4" s="11" t="s">
        <v>109</v>
      </c>
      <c r="E4" s="11" t="str">
        <f t="shared" ref="E4:E11" si="0">LEFT(D4,2)</f>
        <v>A1</v>
      </c>
      <c r="F4" s="11" t="str">
        <f t="shared" ref="F4:F11" si="1">RIGHT(D4,2)</f>
        <v>A2</v>
      </c>
      <c r="G4" s="11" t="str">
        <f>INDEX($N$4:$N$42,MATCH(E4,$M$4:$M$42,0))</f>
        <v>Qatar</v>
      </c>
      <c r="H4" s="11" t="str">
        <f t="shared" ref="H4:H51" si="2">INDEX($N$4:$N$42,MATCH(F4,$M$4:$M$42,0))</f>
        <v>Ecuador</v>
      </c>
      <c r="I4" s="11" t="str">
        <f>LEFT(D4,1)</f>
        <v>A</v>
      </c>
      <c r="J4" s="11">
        <f>COUNTIF($I$4:I4,I4)</f>
        <v>1</v>
      </c>
      <c r="K4" s="12" t="str">
        <f>I4&amp;J4</f>
        <v>A1</v>
      </c>
      <c r="M4" s="13" t="s">
        <v>44</v>
      </c>
      <c r="N4" s="5" t="s">
        <v>343</v>
      </c>
      <c r="P4" s="31">
        <f>SUMIF($AR$5:$AR$10,N4,$AV$5:$AV$10)+SUMIF($AS$5:$AS$10,N4,$AW$5:$AW$10)</f>
        <v>1</v>
      </c>
      <c r="Q4" s="32">
        <f>SUMIF($AR$5:$AR$10,N4,$AT$5:$AT$10)+SUMIF($AS$5:$AS$10,N4,$AU$5:$AU$10)</f>
        <v>1</v>
      </c>
      <c r="R4" s="32">
        <f>-SUMIF($AR$5:$AR$10,N4,$AU$5:$AU$10)-SUMIF($AS$5:$AS$10,N4,$AT$5:$AT$10)</f>
        <v>-6</v>
      </c>
      <c r="S4" s="32">
        <f>SUM(Q4:R4)</f>
        <v>-5</v>
      </c>
      <c r="T4" s="32">
        <f>RANK(P4,$P$4:$P$7,0)</f>
        <v>3</v>
      </c>
      <c r="U4" s="32">
        <f>RANK(S4,$S$4:$S$7,0)</f>
        <v>4</v>
      </c>
      <c r="V4" s="32">
        <f>RANK(Q4,$Q$4:$Q$7,0)</f>
        <v>3</v>
      </c>
      <c r="W4" s="64">
        <v>1E-3</v>
      </c>
      <c r="X4" s="37">
        <f>IF(COUNTIF($T$4:$T$7,T4)&gt;1,U4,0)</f>
        <v>4</v>
      </c>
      <c r="Y4" s="38">
        <f>IF(X4=MAX($X$4:$X$7),0.2,0)</f>
        <v>0.2</v>
      </c>
      <c r="Z4" s="49">
        <f>Y4+T4</f>
        <v>3.2</v>
      </c>
      <c r="AA4" s="46">
        <f>IF(COUNTIF($Z$4:$Z$7,Z4)&gt;1,V4,0)</f>
        <v>0</v>
      </c>
      <c r="AB4" s="43">
        <f>IF(AA4=MAX($AA$4:$AA$7),0.1,0)</f>
        <v>0.1</v>
      </c>
      <c r="AC4" s="70">
        <f>Z4+AB4+W4</f>
        <v>3.3010000000000002</v>
      </c>
      <c r="AD4" s="67">
        <f>_xlfn.RANK.EQ(AC4,$AC$4:$AC$7,1)</f>
        <v>4</v>
      </c>
      <c r="AF4" s="52">
        <v>1</v>
      </c>
      <c r="AG4" s="53" t="str">
        <f>INDEX($N$4:$N$7,MATCH($AF4,$AD$4:$AD$7,0),)</f>
        <v>Nederländerna</v>
      </c>
      <c r="AH4" s="53">
        <f>INDEX($P$4:$P$7,MATCH($AF4,$AD$4:$AD$7,0),)</f>
        <v>9</v>
      </c>
      <c r="AI4" s="61">
        <f>INDEX($S$4:$S$7,MATCH($AF4,$AD$4:$AD$7,0),)</f>
        <v>6</v>
      </c>
      <c r="AJ4" s="54">
        <f>INDEX($Q$4:$Q$7,MATCH($AF4,$AD$4:$AD$7,0),)</f>
        <v>6</v>
      </c>
      <c r="AL4">
        <f>COUNTIF(Tippa!$J$23:$J$26,Beräkningar!AF4)</f>
        <v>1</v>
      </c>
      <c r="AM4">
        <f>Tippa!J23</f>
        <v>1</v>
      </c>
      <c r="AN4" t="str">
        <f>AM4&amp;"A"</f>
        <v>1A</v>
      </c>
      <c r="AO4">
        <f>INDEX(AM4:AM7,MATCH(N4,AG4:AG7,0),)</f>
        <v>4</v>
      </c>
      <c r="AQ4" s="1" t="s">
        <v>0</v>
      </c>
      <c r="AR4" s="28"/>
      <c r="AS4" s="28"/>
      <c r="AT4" s="8" t="s">
        <v>3</v>
      </c>
      <c r="AV4" s="8" t="s">
        <v>181</v>
      </c>
      <c r="AY4" s="8" t="s">
        <v>214</v>
      </c>
      <c r="AZ4" s="8" t="s">
        <v>215</v>
      </c>
    </row>
    <row r="5" spans="2:53" x14ac:dyDescent="0.2">
      <c r="B5" s="14" t="s">
        <v>353</v>
      </c>
      <c r="C5" s="15">
        <v>0.70833333333333337</v>
      </c>
      <c r="D5" s="16" t="s">
        <v>48</v>
      </c>
      <c r="E5" s="16" t="str">
        <f t="shared" si="0"/>
        <v>A3</v>
      </c>
      <c r="F5" s="16" t="str">
        <f t="shared" si="1"/>
        <v>A4</v>
      </c>
      <c r="G5" s="16" t="str">
        <f t="shared" ref="G5:G51" si="3">INDEX($N$4:$N$42,MATCH(E5,$M$4:$M$42,0))</f>
        <v>Senegal</v>
      </c>
      <c r="H5" s="16" t="str">
        <f t="shared" si="2"/>
        <v>Nederländerna</v>
      </c>
      <c r="I5" s="16" t="str">
        <f t="shared" ref="I5:I43" si="4">LEFT(D5,1)</f>
        <v>A</v>
      </c>
      <c r="J5" s="16">
        <f>COUNTIF($I$4:I5,I5)</f>
        <v>2</v>
      </c>
      <c r="K5" s="17" t="str">
        <f t="shared" ref="K5:K51" si="5">I5&amp;J5</f>
        <v>A2</v>
      </c>
      <c r="M5" s="18" t="s">
        <v>45</v>
      </c>
      <c r="N5" s="6" t="s">
        <v>344</v>
      </c>
      <c r="P5" s="33">
        <f>SUMIF($AR$5:$AR$10,N5,$AV$5:$AV$10)+SUMIF($AS$5:$AS$10,N5,$AW$5:$AW$10)</f>
        <v>1</v>
      </c>
      <c r="Q5" s="34">
        <f t="shared" ref="Q5:Q7" si="6">SUMIF($AR$5:$AR$10,N5,$AT$5:$AT$10)+SUMIF($AS$5:$AS$10,N5,$AU$5:$AU$10)</f>
        <v>1</v>
      </c>
      <c r="R5" s="34">
        <f t="shared" ref="R5:R7" si="7">-SUMIF($AR$5:$AR$10,N5,$AU$5:$AU$10)-SUMIF($AS$5:$AS$10,N5,$AT$5:$AT$10)</f>
        <v>-3</v>
      </c>
      <c r="S5" s="34">
        <f t="shared" ref="S5:S7" si="8">SUM(Q5:R5)</f>
        <v>-2</v>
      </c>
      <c r="T5" s="34">
        <f>RANK(P5,$P$4:$P$7,0)</f>
        <v>3</v>
      </c>
      <c r="U5" s="34">
        <f>RANK(S5,$S$4:$S$7,0)</f>
        <v>3</v>
      </c>
      <c r="V5" s="34">
        <f t="shared" ref="V5:V7" si="9">RANK(Q5,$Q$4:$Q$7,0)</f>
        <v>3</v>
      </c>
      <c r="W5" s="65">
        <f>W4+0.001</f>
        <v>2E-3</v>
      </c>
      <c r="X5" s="39">
        <f t="shared" ref="X5:X7" si="10">IF(COUNTIF($T$4:$T$7,T5)&gt;1,U5,0)</f>
        <v>3</v>
      </c>
      <c r="Y5" s="40">
        <f t="shared" ref="Y5:Y7" si="11">IF(X5=MAX($X$4:$X$7),0.2,0)</f>
        <v>0</v>
      </c>
      <c r="Z5" s="50">
        <f t="shared" ref="Z5:Z7" si="12">Y5+T5</f>
        <v>3</v>
      </c>
      <c r="AA5" s="47">
        <f>IF(COUNTIF($Z$4:$Z$7,Z5)&gt;1,V5,0)</f>
        <v>0</v>
      </c>
      <c r="AB5" s="44">
        <f t="shared" ref="AB5:AB7" si="13">IF(AA5=MAX($AA$4:$AA$7),0.1,0)</f>
        <v>0.1</v>
      </c>
      <c r="AC5" s="71">
        <f t="shared" ref="AC5:AC7" si="14">Z5+AB5+W5</f>
        <v>3.1019999999999999</v>
      </c>
      <c r="AD5" s="68">
        <f t="shared" ref="AD5:AD7" si="15">_xlfn.RANK.EQ(AC5,$AC$4:$AC$7,1)</f>
        <v>3</v>
      </c>
      <c r="AF5" s="55">
        <v>2</v>
      </c>
      <c r="AG5" s="56" t="str">
        <f>INDEX($N$4:$N$7,MATCH($AF5,$AD$4:$AD$7,0),)</f>
        <v>Senegal</v>
      </c>
      <c r="AH5" s="56">
        <f t="shared" ref="AH5:AH7" si="16">INDEX($P$4:$P$7,MATCH($AF5,$AD$4:$AD$7,0),)</f>
        <v>6</v>
      </c>
      <c r="AI5" s="62">
        <f t="shared" ref="AI5:AI7" si="17">INDEX($S$4:$S$7,MATCH($AF5,$AD$4:$AD$7,0),)</f>
        <v>1</v>
      </c>
      <c r="AJ5" s="57">
        <f t="shared" ref="AJ5:AJ7" si="18">INDEX($Q$4:$Q$7,MATCH($AF5,$AD$4:$AD$7,0),)</f>
        <v>3</v>
      </c>
      <c r="AL5">
        <f>COUNTIF(Tippa!$J$23:$J$26,Beräkningar!AF5)</f>
        <v>1</v>
      </c>
      <c r="AM5">
        <f>Tippa!J24</f>
        <v>2</v>
      </c>
      <c r="AN5" t="str">
        <f t="shared" ref="AN5:AN7" si="19">AM5&amp;"A"</f>
        <v>2A</v>
      </c>
      <c r="AO5">
        <f>INDEX(AM4:AM7,MATCH(N5,AG4:AG7,0),)</f>
        <v>3</v>
      </c>
      <c r="AP5" t="str">
        <f>Tippa!A23</f>
        <v>A1</v>
      </c>
      <c r="AQ5" s="2" t="str">
        <f>Tippa!C23</f>
        <v>Qatar - Ecuador</v>
      </c>
      <c r="AR5" s="2" t="str">
        <f>INDEX($G$4:$G$51,MATCH(AP5,$K$4:$K$51,0),)</f>
        <v>Qatar</v>
      </c>
      <c r="AS5" s="2" t="str">
        <f>INDEX($H$4:$H$51,MATCH(AP5,$K$4:$K$51,0),)</f>
        <v>Ecuador</v>
      </c>
      <c r="AT5" s="76">
        <f>Tippa!G23</f>
        <v>1</v>
      </c>
      <c r="AU5" s="76">
        <f>Tippa!H23</f>
        <v>1</v>
      </c>
      <c r="AV5" s="73">
        <f>IF(AT5="-",0,IF(AT5&gt;AU5,3,IF(AT5=AU5,1,0)))</f>
        <v>1</v>
      </c>
      <c r="AW5" s="73">
        <f>IF(AT5="-",0,IF(AU5&gt;AT5,3,IF(AU5=AT5,1,0)))</f>
        <v>1</v>
      </c>
      <c r="AY5" s="30" t="s">
        <v>184</v>
      </c>
      <c r="AZ5" s="77" t="s">
        <v>216</v>
      </c>
    </row>
    <row r="6" spans="2:53" x14ac:dyDescent="0.2">
      <c r="B6" s="19" t="s">
        <v>353</v>
      </c>
      <c r="C6" s="20">
        <v>0.83333333333333337</v>
      </c>
      <c r="D6" s="21" t="s">
        <v>49</v>
      </c>
      <c r="E6" s="21" t="str">
        <f t="shared" si="0"/>
        <v>B3</v>
      </c>
      <c r="F6" s="21" t="str">
        <f t="shared" si="1"/>
        <v>B4</v>
      </c>
      <c r="G6" s="21" t="str">
        <f t="shared" si="3"/>
        <v>USA</v>
      </c>
      <c r="H6" s="21" t="str">
        <f t="shared" si="2"/>
        <v>Wales</v>
      </c>
      <c r="I6" s="21" t="str">
        <f t="shared" si="4"/>
        <v>B</v>
      </c>
      <c r="J6" s="21">
        <f>COUNTIF($I$4:I6,I6)</f>
        <v>1</v>
      </c>
      <c r="K6" s="22" t="str">
        <f t="shared" si="5"/>
        <v>B1</v>
      </c>
      <c r="M6" s="18" t="s">
        <v>46</v>
      </c>
      <c r="N6" s="6" t="s">
        <v>212</v>
      </c>
      <c r="P6" s="33">
        <f>SUMIF($AR$5:$AR$10,N6,$AV$5:$AV$10)+SUMIF($AS$5:$AS$10,N6,$AW$5:$AW$10)</f>
        <v>6</v>
      </c>
      <c r="Q6" s="34">
        <f t="shared" si="6"/>
        <v>3</v>
      </c>
      <c r="R6" s="34">
        <f t="shared" si="7"/>
        <v>-2</v>
      </c>
      <c r="S6" s="34">
        <f t="shared" si="8"/>
        <v>1</v>
      </c>
      <c r="T6" s="34">
        <f>RANK(P6,$P$4:$P$7,0)</f>
        <v>2</v>
      </c>
      <c r="U6" s="34">
        <f>RANK(S6,$S$4:$S$7,0)</f>
        <v>2</v>
      </c>
      <c r="V6" s="34">
        <f t="shared" si="9"/>
        <v>2</v>
      </c>
      <c r="W6" s="65">
        <f t="shared" ref="W6:W7" si="20">W5+0.001</f>
        <v>3.0000000000000001E-3</v>
      </c>
      <c r="X6" s="39">
        <f t="shared" si="10"/>
        <v>0</v>
      </c>
      <c r="Y6" s="40">
        <f t="shared" si="11"/>
        <v>0</v>
      </c>
      <c r="Z6" s="50">
        <f t="shared" si="12"/>
        <v>2</v>
      </c>
      <c r="AA6" s="47">
        <f>IF(COUNTIF($Z$4:$Z$7,Z6)&gt;1,V6,0)</f>
        <v>0</v>
      </c>
      <c r="AB6" s="44">
        <f t="shared" si="13"/>
        <v>0.1</v>
      </c>
      <c r="AC6" s="71">
        <f t="shared" si="14"/>
        <v>2.1030000000000002</v>
      </c>
      <c r="AD6" s="68">
        <f t="shared" si="15"/>
        <v>2</v>
      </c>
      <c r="AF6" s="55">
        <v>3</v>
      </c>
      <c r="AG6" s="56" t="str">
        <f>INDEX($N$4:$N$7,MATCH($AF6,$AD$4:$AD$7,0),)</f>
        <v>Ecuador</v>
      </c>
      <c r="AH6" s="56">
        <f t="shared" si="16"/>
        <v>1</v>
      </c>
      <c r="AI6" s="62">
        <f t="shared" si="17"/>
        <v>-2</v>
      </c>
      <c r="AJ6" s="57">
        <f t="shared" si="18"/>
        <v>1</v>
      </c>
      <c r="AL6">
        <f>COUNTIF(Tippa!$J$23:$J$26,Beräkningar!AF6)</f>
        <v>1</v>
      </c>
      <c r="AM6">
        <f>Tippa!J25</f>
        <v>3</v>
      </c>
      <c r="AN6" t="str">
        <f t="shared" si="19"/>
        <v>3A</v>
      </c>
      <c r="AO6">
        <f>INDEX(AM4:AM7,MATCH(N6,AG4:AG7,0),)</f>
        <v>2</v>
      </c>
      <c r="AP6" t="str">
        <f>Tippa!A24</f>
        <v>A2</v>
      </c>
      <c r="AQ6" s="3" t="str">
        <f>Tippa!C24</f>
        <v>Senegal - Nederländerna</v>
      </c>
      <c r="AR6" s="3" t="str">
        <f t="shared" ref="AR6:AR10" si="21">INDEX($G$4:$G$51,MATCH(AP6,$K$4:$K$51,0),)</f>
        <v>Senegal</v>
      </c>
      <c r="AS6" s="3" t="str">
        <f t="shared" ref="AS6:AS10" si="22">INDEX($H$4:$H$51,MATCH(AP6,$K$4:$K$51,0),)</f>
        <v>Nederländerna</v>
      </c>
      <c r="AT6" s="76">
        <f>Tippa!G24</f>
        <v>0</v>
      </c>
      <c r="AU6" s="76">
        <f>Tippa!H24</f>
        <v>2</v>
      </c>
      <c r="AV6" s="73">
        <f t="shared" ref="AV6:AV10" si="23">IF(AT6="-",0,IF(AT6&gt;AU6,3,IF(AT6=AU6,1,0)))</f>
        <v>0</v>
      </c>
      <c r="AW6" s="73">
        <f t="shared" ref="AW6:AW10" si="24">IF(AT6="-",0,IF(AU6&gt;AT6,3,IF(AU6=AT6,1,0)))</f>
        <v>3</v>
      </c>
      <c r="AY6" s="30" t="s">
        <v>185</v>
      </c>
      <c r="AZ6" s="77" t="s">
        <v>216</v>
      </c>
    </row>
    <row r="7" spans="2:53" x14ac:dyDescent="0.2">
      <c r="B7" s="14" t="s">
        <v>353</v>
      </c>
      <c r="C7" s="15">
        <v>0.58333333333333337</v>
      </c>
      <c r="D7" s="16" t="s">
        <v>50</v>
      </c>
      <c r="E7" s="16" t="str">
        <f t="shared" si="0"/>
        <v>B1</v>
      </c>
      <c r="F7" s="16" t="str">
        <f t="shared" si="1"/>
        <v>B2</v>
      </c>
      <c r="G7" s="16" t="str">
        <f t="shared" si="3"/>
        <v>England</v>
      </c>
      <c r="H7" s="16" t="str">
        <f t="shared" si="2"/>
        <v>Iran</v>
      </c>
      <c r="I7" s="16" t="str">
        <f t="shared" si="4"/>
        <v>B</v>
      </c>
      <c r="J7" s="16">
        <f>COUNTIF($I$4:I7,I7)</f>
        <v>2</v>
      </c>
      <c r="K7" s="17" t="str">
        <f t="shared" si="5"/>
        <v>B2</v>
      </c>
      <c r="M7" s="23" t="s">
        <v>47</v>
      </c>
      <c r="N7" s="7" t="s">
        <v>345</v>
      </c>
      <c r="P7" s="35">
        <f>SUMIF($AR$5:$AR$10,N7,$AV$5:$AV$10)+SUMIF($AS$5:$AS$10,N7,$AW$5:$AW$10)</f>
        <v>9</v>
      </c>
      <c r="Q7" s="36">
        <f t="shared" si="6"/>
        <v>6</v>
      </c>
      <c r="R7" s="36">
        <f t="shared" si="7"/>
        <v>0</v>
      </c>
      <c r="S7" s="36">
        <f t="shared" si="8"/>
        <v>6</v>
      </c>
      <c r="T7" s="36">
        <f>RANK(P7,$P$4:$P$7,0)</f>
        <v>1</v>
      </c>
      <c r="U7" s="36">
        <f>RANK(S7,$S$4:$S$7,0)</f>
        <v>1</v>
      </c>
      <c r="V7" s="36">
        <f t="shared" si="9"/>
        <v>1</v>
      </c>
      <c r="W7" s="66">
        <f t="shared" si="20"/>
        <v>4.0000000000000001E-3</v>
      </c>
      <c r="X7" s="41">
        <f t="shared" si="10"/>
        <v>0</v>
      </c>
      <c r="Y7" s="42">
        <f t="shared" si="11"/>
        <v>0</v>
      </c>
      <c r="Z7" s="51">
        <f t="shared" si="12"/>
        <v>1</v>
      </c>
      <c r="AA7" s="48">
        <f>IF(COUNTIF($Z$4:$Z$7,Z7)&gt;1,V7,0)</f>
        <v>0</v>
      </c>
      <c r="AB7" s="45">
        <f t="shared" si="13"/>
        <v>0.1</v>
      </c>
      <c r="AC7" s="72">
        <f t="shared" si="14"/>
        <v>1.1040000000000001</v>
      </c>
      <c r="AD7" s="69">
        <f t="shared" si="15"/>
        <v>1</v>
      </c>
      <c r="AF7" s="58">
        <v>4</v>
      </c>
      <c r="AG7" s="59" t="str">
        <f>INDEX($N$4:$N$7,MATCH($AF7,$AD$4:$AD$7,0),)</f>
        <v>Qatar</v>
      </c>
      <c r="AH7" s="59">
        <f t="shared" si="16"/>
        <v>1</v>
      </c>
      <c r="AI7" s="63">
        <f t="shared" si="17"/>
        <v>-5</v>
      </c>
      <c r="AJ7" s="60">
        <f t="shared" si="18"/>
        <v>1</v>
      </c>
      <c r="AL7">
        <f>COUNTIF(Tippa!$J$23:$J$26,Beräkningar!AF7)</f>
        <v>1</v>
      </c>
      <c r="AM7">
        <f>Tippa!J26</f>
        <v>4</v>
      </c>
      <c r="AN7" t="str">
        <f t="shared" si="19"/>
        <v>4A</v>
      </c>
      <c r="AO7">
        <f>INDEX(AM4:AM7,MATCH(N7,AG4:AG7,0),)</f>
        <v>1</v>
      </c>
      <c r="AP7" t="str">
        <f>Tippa!A25</f>
        <v>A3</v>
      </c>
      <c r="AQ7" s="3" t="str">
        <f>Tippa!C25</f>
        <v>Qatar - Senegal</v>
      </c>
      <c r="AR7" s="3" t="str">
        <f t="shared" si="21"/>
        <v>Qatar</v>
      </c>
      <c r="AS7" s="3" t="str">
        <f t="shared" si="22"/>
        <v>Senegal</v>
      </c>
      <c r="AT7" s="76">
        <f>Tippa!G25</f>
        <v>0</v>
      </c>
      <c r="AU7" s="76">
        <f>Tippa!H25</f>
        <v>2</v>
      </c>
      <c r="AV7" s="73">
        <f t="shared" si="23"/>
        <v>0</v>
      </c>
      <c r="AW7" s="73">
        <f t="shared" si="24"/>
        <v>3</v>
      </c>
      <c r="AY7" s="30" t="s">
        <v>186</v>
      </c>
      <c r="AZ7" s="77" t="s">
        <v>216</v>
      </c>
    </row>
    <row r="8" spans="2:53" x14ac:dyDescent="0.2">
      <c r="B8" s="19" t="s">
        <v>354</v>
      </c>
      <c r="C8" s="20">
        <v>0.45833333333333331</v>
      </c>
      <c r="D8" s="21" t="s">
        <v>51</v>
      </c>
      <c r="E8" s="21" t="str">
        <f t="shared" si="0"/>
        <v>C1</v>
      </c>
      <c r="F8" s="21" t="str">
        <f t="shared" si="1"/>
        <v>C2</v>
      </c>
      <c r="G8" s="21" t="str">
        <f t="shared" si="3"/>
        <v>Argentina</v>
      </c>
      <c r="H8" s="21" t="str">
        <f t="shared" si="2"/>
        <v>Saudiarabien</v>
      </c>
      <c r="I8" s="21" t="str">
        <f t="shared" si="4"/>
        <v>C</v>
      </c>
      <c r="J8" s="21">
        <f>COUNTIF($I$4:I8,I8)</f>
        <v>1</v>
      </c>
      <c r="K8" s="22" t="str">
        <f t="shared" si="5"/>
        <v>C1</v>
      </c>
      <c r="AP8" t="str">
        <f>Tippa!A26</f>
        <v>A4</v>
      </c>
      <c r="AQ8" s="3" t="str">
        <f>Tippa!C26</f>
        <v>Nederländerna - Ecuador</v>
      </c>
      <c r="AR8" s="3" t="str">
        <f t="shared" si="21"/>
        <v>Nederländerna</v>
      </c>
      <c r="AS8" s="3" t="str">
        <f>INDEX($H$4:$H$51,MATCH(AP8,$K$4:$K$51,0),)</f>
        <v>Ecuador</v>
      </c>
      <c r="AT8" s="76">
        <f>Tippa!G26</f>
        <v>1</v>
      </c>
      <c r="AU8" s="76">
        <f>Tippa!H26</f>
        <v>0</v>
      </c>
      <c r="AV8" s="73">
        <f t="shared" si="23"/>
        <v>3</v>
      </c>
      <c r="AW8" s="73">
        <f t="shared" si="24"/>
        <v>0</v>
      </c>
      <c r="AY8" s="30" t="s">
        <v>187</v>
      </c>
      <c r="AZ8" s="78" t="s">
        <v>218</v>
      </c>
      <c r="BA8" t="s">
        <v>217</v>
      </c>
    </row>
    <row r="9" spans="2:53" x14ac:dyDescent="0.2">
      <c r="B9" s="14" t="s">
        <v>354</v>
      </c>
      <c r="C9" s="15">
        <v>0.83333333333333337</v>
      </c>
      <c r="D9" s="16" t="s">
        <v>52</v>
      </c>
      <c r="E9" s="16" t="str">
        <f t="shared" si="0"/>
        <v>D1</v>
      </c>
      <c r="F9" s="16" t="str">
        <f t="shared" si="1"/>
        <v>D2</v>
      </c>
      <c r="G9" s="16" t="str">
        <f t="shared" si="3"/>
        <v>Frankrike</v>
      </c>
      <c r="H9" s="16" t="str">
        <f t="shared" si="2"/>
        <v>Australien</v>
      </c>
      <c r="I9" s="16" t="str">
        <f t="shared" si="4"/>
        <v>D</v>
      </c>
      <c r="J9" s="16">
        <f>COUNTIF($I$4:I9,I9)</f>
        <v>1</v>
      </c>
      <c r="K9" s="17" t="str">
        <f t="shared" si="5"/>
        <v>D1</v>
      </c>
      <c r="M9" s="13" t="s">
        <v>110</v>
      </c>
      <c r="N9" s="5" t="s">
        <v>22</v>
      </c>
      <c r="P9" s="31">
        <f>SUMIF($AR$13:$AR$18,N9,$AV$13:$AV$18)+SUMIF($AS$13:$AS$18,N9,$AW$13:$AW$18)</f>
        <v>5</v>
      </c>
      <c r="Q9" s="32">
        <f>SUMIF($AR$13:$AR$18,N9,$AT$13:$AT$18)+SUMIF($AS$13:$AS$18,N9,$AU$13:$AU$18)</f>
        <v>7</v>
      </c>
      <c r="R9" s="32">
        <f>-SUMIF($AR$13:$AR$18,N9,$AU$13:$AU$18)-SUMIF($AS$13:$AS$18,N9,$AT$13:$AT$18)</f>
        <v>-3</v>
      </c>
      <c r="S9" s="32">
        <f>SUM(Q9:R9)</f>
        <v>4</v>
      </c>
      <c r="T9" s="32">
        <f>RANK(P9,$P$9:$P$12,0)</f>
        <v>1</v>
      </c>
      <c r="U9" s="32">
        <f>RANK(S9,$S$9:$S$12,0)</f>
        <v>1</v>
      </c>
      <c r="V9" s="32">
        <f>RANK(Q9,$Q$9:$Q$12,0)</f>
        <v>1</v>
      </c>
      <c r="W9" s="64">
        <v>1E-3</v>
      </c>
      <c r="X9" s="37">
        <f>IF(COUNTIF($T$9:$T$12,T9)&gt;1,U9,0)</f>
        <v>1</v>
      </c>
      <c r="Y9" s="38">
        <f>IF(X9=MAX($X$9:$X$12),0.2,0)</f>
        <v>0</v>
      </c>
      <c r="Z9" s="49">
        <f>Y9+T9</f>
        <v>1</v>
      </c>
      <c r="AA9" s="46">
        <f>IF(COUNTIF($Z$9:$Z$12,Z9)&gt;1,V9,0)</f>
        <v>0</v>
      </c>
      <c r="AB9" s="43">
        <f>IF(AA9=MAX($AA$9:$AA$12),0.1,0)</f>
        <v>0</v>
      </c>
      <c r="AC9" s="70">
        <f>Z9+AB9+W9</f>
        <v>1.0009999999999999</v>
      </c>
      <c r="AD9" s="67">
        <f>_xlfn.RANK.EQ(AC9,$AC$9:$AC$12,1)</f>
        <v>1</v>
      </c>
      <c r="AF9" s="52">
        <v>1</v>
      </c>
      <c r="AG9" s="53" t="str">
        <f>INDEX($N$9:$N$12,MATCH($AF9,$AD$9:$AD$12,0),)</f>
        <v>England</v>
      </c>
      <c r="AH9" s="53">
        <f>INDEX($P$9:$P$12,MATCH($AF9,$AD$9:$AD$12,0),)</f>
        <v>5</v>
      </c>
      <c r="AI9" s="61">
        <f>INDEX($S$9:$S$12,MATCH($AF9,$AD$9:$AD$12,0),)</f>
        <v>4</v>
      </c>
      <c r="AJ9" s="54">
        <f>INDEX($Q$9:$Q$12,MATCH($AF9,$AD$9:$AD$12,0),)</f>
        <v>7</v>
      </c>
      <c r="AL9">
        <f>COUNTIF(Tippa!$J$34:$J$37,Beräkningar!AF9)</f>
        <v>1</v>
      </c>
      <c r="AM9">
        <f>Tippa!J34</f>
        <v>1</v>
      </c>
      <c r="AN9" t="str">
        <f>AM9&amp;"B"</f>
        <v>1B</v>
      </c>
      <c r="AO9">
        <f>INDEX(AM9:AM12,MATCH(N9,AG9:AG12,0),)</f>
        <v>1</v>
      </c>
      <c r="AP9" t="str">
        <f>Tippa!A27</f>
        <v>A5</v>
      </c>
      <c r="AQ9" s="3" t="str">
        <f>Tippa!C27</f>
        <v>Ecuador - Senegal</v>
      </c>
      <c r="AR9" s="3" t="str">
        <f t="shared" si="21"/>
        <v>Ecuador</v>
      </c>
      <c r="AS9" s="3" t="str">
        <f t="shared" si="22"/>
        <v>Senegal</v>
      </c>
      <c r="AT9" s="76">
        <f>Tippa!G27</f>
        <v>0</v>
      </c>
      <c r="AU9" s="76">
        <f>Tippa!H27</f>
        <v>1</v>
      </c>
      <c r="AV9" s="73">
        <f t="shared" si="23"/>
        <v>0</v>
      </c>
      <c r="AW9" s="73">
        <f t="shared" si="24"/>
        <v>3</v>
      </c>
      <c r="AY9" s="30" t="s">
        <v>188</v>
      </c>
      <c r="AZ9" s="78" t="s">
        <v>218</v>
      </c>
    </row>
    <row r="10" spans="2:53" x14ac:dyDescent="0.2">
      <c r="B10" s="19" t="s">
        <v>354</v>
      </c>
      <c r="C10" s="20">
        <v>0.70833333333333337</v>
      </c>
      <c r="D10" s="21" t="s">
        <v>53</v>
      </c>
      <c r="E10" s="21" t="str">
        <f t="shared" si="0"/>
        <v>C3</v>
      </c>
      <c r="F10" s="21" t="str">
        <f t="shared" si="1"/>
        <v>C4</v>
      </c>
      <c r="G10" s="21" t="str">
        <f t="shared" si="3"/>
        <v>Mexiko</v>
      </c>
      <c r="H10" s="21" t="str">
        <f t="shared" si="2"/>
        <v>Polen</v>
      </c>
      <c r="I10" s="21" t="str">
        <f t="shared" si="4"/>
        <v>C</v>
      </c>
      <c r="J10" s="21">
        <f>COUNTIF($I$4:I10,I10)</f>
        <v>2</v>
      </c>
      <c r="K10" s="22" t="str">
        <f t="shared" si="5"/>
        <v>C2</v>
      </c>
      <c r="M10" s="18" t="s">
        <v>111</v>
      </c>
      <c r="N10" s="6" t="s">
        <v>202</v>
      </c>
      <c r="P10" s="33">
        <f t="shared" ref="P10:P12" si="25">SUMIF($AR$13:$AR$18,N10,$AV$13:$AV$18)+SUMIF($AS$13:$AS$18,N10,$AW$13:$AW$18)</f>
        <v>0</v>
      </c>
      <c r="Q10" s="34">
        <f t="shared" ref="Q10:Q12" si="26">SUMIF($AR$13:$AR$18,N10,$AT$13:$AT$18)+SUMIF($AS$13:$AS$18,N10,$AU$13:$AU$18)</f>
        <v>1</v>
      </c>
      <c r="R10" s="34">
        <f t="shared" ref="R10:R12" si="27">-SUMIF($AR$13:$AR$18,N10,$AU$13:$AU$18)-SUMIF($AS$13:$AS$18,N10,$AT$13:$AT$18)</f>
        <v>-9</v>
      </c>
      <c r="S10" s="34">
        <f t="shared" ref="S10:S12" si="28">SUM(Q10:R10)</f>
        <v>-8</v>
      </c>
      <c r="T10" s="34">
        <f t="shared" ref="T10:T12" si="29">RANK(P10,$P$9:$P$12,0)</f>
        <v>4</v>
      </c>
      <c r="U10" s="34">
        <f t="shared" ref="U10:U12" si="30">RANK(S10,$S$9:$S$12,0)</f>
        <v>4</v>
      </c>
      <c r="V10" s="34">
        <f t="shared" ref="V10:V12" si="31">RANK(Q10,$Q$9:$Q$12,0)</f>
        <v>4</v>
      </c>
      <c r="W10" s="65">
        <f>W9+0.001</f>
        <v>2E-3</v>
      </c>
      <c r="X10" s="39">
        <f t="shared" ref="X10:X12" si="32">IF(COUNTIF($T$9:$T$12,T10)&gt;1,U10,0)</f>
        <v>0</v>
      </c>
      <c r="Y10" s="40">
        <f t="shared" ref="Y10:Y12" si="33">IF(X10=MAX($X$9:$X$12),0.2,0)</f>
        <v>0</v>
      </c>
      <c r="Z10" s="50">
        <f t="shared" ref="Z10:Z12" si="34">Y10+T10</f>
        <v>4</v>
      </c>
      <c r="AA10" s="47">
        <f t="shared" ref="AA10:AA12" si="35">IF(COUNTIF($Z$9:$Z$12,Z10)&gt;1,V10,0)</f>
        <v>0</v>
      </c>
      <c r="AB10" s="44">
        <f t="shared" ref="AB10:AB12" si="36">IF(AA10=MAX($AA$9:$AA$12),0.1,0)</f>
        <v>0</v>
      </c>
      <c r="AC10" s="71">
        <f t="shared" ref="AC10:AC12" si="37">Z10+AB10+W10</f>
        <v>4.0019999999999998</v>
      </c>
      <c r="AD10" s="68">
        <f>_xlfn.RANK.EQ(AC10,$AC$9:$AC$12,1)</f>
        <v>4</v>
      </c>
      <c r="AF10" s="55">
        <v>2</v>
      </c>
      <c r="AG10" s="56" t="str">
        <f t="shared" ref="AG10:AG12" si="38">INDEX($N$9:$N$12,MATCH($AF10,$AD$9:$AD$12,0),)</f>
        <v>USA</v>
      </c>
      <c r="AH10" s="56">
        <f t="shared" ref="AH10:AH12" si="39">INDEX($P$9:$P$12,MATCH($AF10,$AD$9:$AD$12,0),)</f>
        <v>5</v>
      </c>
      <c r="AI10" s="62">
        <f t="shared" ref="AI10:AI12" si="40">INDEX($S$9:$S$12,MATCH($AF10,$AD$9:$AD$12,0),)</f>
        <v>2</v>
      </c>
      <c r="AJ10" s="57">
        <f t="shared" ref="AJ10:AJ12" si="41">INDEX($Q$9:$Q$12,MATCH($AF10,$AD$9:$AD$12,0),)</f>
        <v>6</v>
      </c>
      <c r="AL10">
        <f>COUNTIF(Tippa!$J$34:$J$37,Beräkningar!AF10)</f>
        <v>1</v>
      </c>
      <c r="AM10">
        <f>Tippa!J35</f>
        <v>2</v>
      </c>
      <c r="AN10" t="str">
        <f t="shared" ref="AN10:AN12" si="42">AM10&amp;"B"</f>
        <v>2B</v>
      </c>
      <c r="AO10">
        <f>INDEX(AM9:AM12,MATCH(N10,AG9:AG12,0),)</f>
        <v>4</v>
      </c>
      <c r="AP10" t="str">
        <f>Tippa!A28</f>
        <v>A6</v>
      </c>
      <c r="AQ10" s="4" t="str">
        <f>Tippa!C28</f>
        <v>Nederländerna - Qatar</v>
      </c>
      <c r="AR10" s="4" t="str">
        <f t="shared" si="21"/>
        <v>Nederländerna</v>
      </c>
      <c r="AS10" s="4" t="str">
        <f t="shared" si="22"/>
        <v>Qatar</v>
      </c>
      <c r="AT10" s="76">
        <f>Tippa!G28</f>
        <v>3</v>
      </c>
      <c r="AU10" s="76">
        <f>Tippa!H28</f>
        <v>0</v>
      </c>
      <c r="AV10" s="73">
        <f t="shared" si="23"/>
        <v>3</v>
      </c>
      <c r="AW10" s="73">
        <f t="shared" si="24"/>
        <v>0</v>
      </c>
      <c r="AY10" s="30" t="s">
        <v>189</v>
      </c>
      <c r="AZ10" s="78" t="s">
        <v>218</v>
      </c>
    </row>
    <row r="11" spans="2:53" x14ac:dyDescent="0.2">
      <c r="B11" s="14" t="s">
        <v>354</v>
      </c>
      <c r="C11" s="15">
        <v>0.58333333333333337</v>
      </c>
      <c r="D11" s="16" t="s">
        <v>54</v>
      </c>
      <c r="E11" s="16" t="str">
        <f t="shared" si="0"/>
        <v>D3</v>
      </c>
      <c r="F11" s="16" t="str">
        <f t="shared" si="1"/>
        <v>D4</v>
      </c>
      <c r="G11" s="16" t="str">
        <f t="shared" si="3"/>
        <v>Danmark</v>
      </c>
      <c r="H11" s="16" t="str">
        <f t="shared" si="2"/>
        <v>Tunisien</v>
      </c>
      <c r="I11" s="16" t="str">
        <f t="shared" si="4"/>
        <v>D</v>
      </c>
      <c r="J11" s="16">
        <f>COUNTIF($I$4:I11,I11)</f>
        <v>2</v>
      </c>
      <c r="K11" s="17" t="str">
        <f t="shared" si="5"/>
        <v>D2</v>
      </c>
      <c r="M11" s="18" t="s">
        <v>112</v>
      </c>
      <c r="N11" s="6" t="s">
        <v>346</v>
      </c>
      <c r="P11" s="33">
        <f t="shared" si="25"/>
        <v>5</v>
      </c>
      <c r="Q11" s="34">
        <f t="shared" si="26"/>
        <v>6</v>
      </c>
      <c r="R11" s="34">
        <f t="shared" si="27"/>
        <v>-4</v>
      </c>
      <c r="S11" s="34">
        <f t="shared" si="28"/>
        <v>2</v>
      </c>
      <c r="T11" s="34">
        <f t="shared" si="29"/>
        <v>1</v>
      </c>
      <c r="U11" s="34">
        <f t="shared" si="30"/>
        <v>2</v>
      </c>
      <c r="V11" s="34">
        <f t="shared" si="31"/>
        <v>2</v>
      </c>
      <c r="W11" s="65">
        <f t="shared" ref="W11:W12" si="43">W10+0.001</f>
        <v>3.0000000000000001E-3</v>
      </c>
      <c r="X11" s="39">
        <f t="shared" si="32"/>
        <v>2</v>
      </c>
      <c r="Y11" s="40">
        <f t="shared" si="33"/>
        <v>0.2</v>
      </c>
      <c r="Z11" s="50">
        <f t="shared" si="34"/>
        <v>1.2</v>
      </c>
      <c r="AA11" s="47">
        <f t="shared" si="35"/>
        <v>2</v>
      </c>
      <c r="AB11" s="44">
        <f t="shared" si="36"/>
        <v>0</v>
      </c>
      <c r="AC11" s="71">
        <f t="shared" si="37"/>
        <v>1.2029999999999998</v>
      </c>
      <c r="AD11" s="68">
        <f>_xlfn.RANK.EQ(AC11,$AC$9:$AC$12,1)</f>
        <v>2</v>
      </c>
      <c r="AF11" s="55">
        <v>3</v>
      </c>
      <c r="AG11" s="56" t="str">
        <f t="shared" si="38"/>
        <v>Wales</v>
      </c>
      <c r="AH11" s="56">
        <f t="shared" si="39"/>
        <v>5</v>
      </c>
      <c r="AI11" s="62">
        <f t="shared" si="40"/>
        <v>2</v>
      </c>
      <c r="AJ11" s="57">
        <f t="shared" si="41"/>
        <v>4</v>
      </c>
      <c r="AL11">
        <f>COUNTIF(Tippa!$J$34:$J$37,Beräkningar!AF11)</f>
        <v>1</v>
      </c>
      <c r="AM11">
        <f>Tippa!J36</f>
        <v>3</v>
      </c>
      <c r="AN11" t="str">
        <f t="shared" si="42"/>
        <v>3B</v>
      </c>
      <c r="AO11">
        <f>INDEX(AM9:AM12,MATCH(N11,AG9:AG12,0),)</f>
        <v>2</v>
      </c>
      <c r="AV11" s="74"/>
      <c r="AW11" s="74"/>
      <c r="AY11" s="30" t="s">
        <v>190</v>
      </c>
      <c r="AZ11" s="78" t="s">
        <v>218</v>
      </c>
    </row>
    <row r="12" spans="2:53" x14ac:dyDescent="0.2">
      <c r="B12" s="19" t="s">
        <v>355</v>
      </c>
      <c r="C12" s="20">
        <v>0.58333333333333337</v>
      </c>
      <c r="D12" s="21" t="s">
        <v>55</v>
      </c>
      <c r="E12" s="21" t="str">
        <f t="shared" ref="E12:E43" si="44">LEFT(D12,2)</f>
        <v>E3</v>
      </c>
      <c r="F12" s="21" t="str">
        <f t="shared" ref="F12:F43" si="45">RIGHT(D12,2)</f>
        <v>E4</v>
      </c>
      <c r="G12" s="21" t="str">
        <f t="shared" si="3"/>
        <v>Tyskland</v>
      </c>
      <c r="H12" s="21" t="str">
        <f t="shared" si="2"/>
        <v>Japan</v>
      </c>
      <c r="I12" s="21" t="str">
        <f t="shared" si="4"/>
        <v>E</v>
      </c>
      <c r="J12" s="21">
        <f>COUNTIF($I$4:I12,I12)</f>
        <v>1</v>
      </c>
      <c r="K12" s="22" t="str">
        <f t="shared" si="5"/>
        <v>E1</v>
      </c>
      <c r="M12" s="23" t="s">
        <v>113</v>
      </c>
      <c r="N12" s="7" t="s">
        <v>347</v>
      </c>
      <c r="P12" s="35">
        <f t="shared" si="25"/>
        <v>5</v>
      </c>
      <c r="Q12" s="36">
        <f t="shared" si="26"/>
        <v>4</v>
      </c>
      <c r="R12" s="36">
        <f t="shared" si="27"/>
        <v>-2</v>
      </c>
      <c r="S12" s="36">
        <f t="shared" si="28"/>
        <v>2</v>
      </c>
      <c r="T12" s="36">
        <f t="shared" si="29"/>
        <v>1</v>
      </c>
      <c r="U12" s="36">
        <f t="shared" si="30"/>
        <v>2</v>
      </c>
      <c r="V12" s="36">
        <f t="shared" si="31"/>
        <v>3</v>
      </c>
      <c r="W12" s="66">
        <f t="shared" si="43"/>
        <v>4.0000000000000001E-3</v>
      </c>
      <c r="X12" s="41">
        <f t="shared" si="32"/>
        <v>2</v>
      </c>
      <c r="Y12" s="42">
        <f t="shared" si="33"/>
        <v>0.2</v>
      </c>
      <c r="Z12" s="51">
        <f t="shared" si="34"/>
        <v>1.2</v>
      </c>
      <c r="AA12" s="48">
        <f t="shared" si="35"/>
        <v>3</v>
      </c>
      <c r="AB12" s="45">
        <f t="shared" si="36"/>
        <v>0.1</v>
      </c>
      <c r="AC12" s="72">
        <f t="shared" si="37"/>
        <v>1.304</v>
      </c>
      <c r="AD12" s="69">
        <f>_xlfn.RANK.EQ(AC12,$AC$9:$AC$12,1)</f>
        <v>3</v>
      </c>
      <c r="AF12" s="58">
        <v>4</v>
      </c>
      <c r="AG12" s="59" t="str">
        <f t="shared" si="38"/>
        <v>Iran</v>
      </c>
      <c r="AH12" s="59">
        <f t="shared" si="39"/>
        <v>0</v>
      </c>
      <c r="AI12" s="63">
        <f t="shared" si="40"/>
        <v>-8</v>
      </c>
      <c r="AJ12" s="60">
        <f t="shared" si="41"/>
        <v>1</v>
      </c>
      <c r="AL12">
        <f>COUNTIF(Tippa!$J$34:$J$37,Beräkningar!AF12)</f>
        <v>1</v>
      </c>
      <c r="AM12">
        <f>Tippa!J37</f>
        <v>4</v>
      </c>
      <c r="AN12" t="str">
        <f t="shared" si="42"/>
        <v>4B</v>
      </c>
      <c r="AO12">
        <f>INDEX(AM9:AM12,MATCH(N12,AG9:AG12,0),)</f>
        <v>3</v>
      </c>
      <c r="AQ12" s="1" t="s">
        <v>6</v>
      </c>
      <c r="AR12" s="28"/>
      <c r="AS12" s="28"/>
      <c r="AT12" s="8" t="s">
        <v>3</v>
      </c>
      <c r="AV12" s="75" t="s">
        <v>181</v>
      </c>
      <c r="AW12" s="74"/>
      <c r="AY12" s="30" t="s">
        <v>191</v>
      </c>
      <c r="AZ12" s="78" t="s">
        <v>218</v>
      </c>
    </row>
    <row r="13" spans="2:53" x14ac:dyDescent="0.2">
      <c r="B13" s="14" t="s">
        <v>355</v>
      </c>
      <c r="C13" s="15">
        <v>0.83333333333333337</v>
      </c>
      <c r="D13" s="16" t="s">
        <v>56</v>
      </c>
      <c r="E13" s="16" t="str">
        <f t="shared" si="44"/>
        <v>F1</v>
      </c>
      <c r="F13" s="16" t="str">
        <f t="shared" si="45"/>
        <v>F2</v>
      </c>
      <c r="G13" s="16" t="str">
        <f t="shared" si="3"/>
        <v>Belgien</v>
      </c>
      <c r="H13" s="16" t="str">
        <f t="shared" si="2"/>
        <v>Kanada</v>
      </c>
      <c r="I13" s="16" t="str">
        <f t="shared" si="4"/>
        <v>F</v>
      </c>
      <c r="J13" s="16">
        <f>COUNTIF($I$4:I13,I13)</f>
        <v>1</v>
      </c>
      <c r="K13" s="17" t="str">
        <f t="shared" si="5"/>
        <v>F1</v>
      </c>
      <c r="AP13" t="str">
        <f>Tippa!A34</f>
        <v>B1</v>
      </c>
      <c r="AQ13" s="2" t="str">
        <f>Tippa!C34</f>
        <v>USA - Wales</v>
      </c>
      <c r="AR13" s="2" t="str">
        <f>INDEX($G$4:$G$51,MATCH(AP13,$K$4:$K$51,0),)</f>
        <v>USA</v>
      </c>
      <c r="AS13" s="2" t="str">
        <f>INDEX($H$4:$H$51,MATCH(AP13,$K$4:$K$51,0),)</f>
        <v>Wales</v>
      </c>
      <c r="AT13" s="76">
        <f>Tippa!G34</f>
        <v>1</v>
      </c>
      <c r="AU13" s="76">
        <f>Tippa!H34</f>
        <v>1</v>
      </c>
      <c r="AV13" s="73">
        <f>IF(AT13="-",0,IF(AT13&gt;AU13,3,IF(AT13=AU13,1,0)))</f>
        <v>1</v>
      </c>
      <c r="AW13" s="73">
        <f>IF(AT13="-",0,IF(AU13&gt;AT13,3,IF(AU13=AT13,1,0)))</f>
        <v>1</v>
      </c>
    </row>
    <row r="14" spans="2:53" x14ac:dyDescent="0.2">
      <c r="B14" s="19" t="s">
        <v>355</v>
      </c>
      <c r="C14" s="20">
        <v>0.70833333333333337</v>
      </c>
      <c r="D14" s="21" t="s">
        <v>57</v>
      </c>
      <c r="E14" s="21" t="str">
        <f t="shared" si="44"/>
        <v>E1</v>
      </c>
      <c r="F14" s="21" t="str">
        <f t="shared" si="45"/>
        <v>E2</v>
      </c>
      <c r="G14" s="21" t="str">
        <f t="shared" si="3"/>
        <v>Spanien</v>
      </c>
      <c r="H14" s="21" t="str">
        <f t="shared" si="2"/>
        <v>Costa Rica</v>
      </c>
      <c r="I14" s="21" t="str">
        <f t="shared" si="4"/>
        <v>E</v>
      </c>
      <c r="J14" s="21">
        <f>COUNTIF($I$4:I14,I14)</f>
        <v>2</v>
      </c>
      <c r="K14" s="22" t="str">
        <f t="shared" si="5"/>
        <v>E2</v>
      </c>
      <c r="M14" s="13" t="s">
        <v>114</v>
      </c>
      <c r="N14" s="5" t="s">
        <v>173</v>
      </c>
      <c r="P14" s="31">
        <f>SUMIF($AR$21:$AR$26,N14,$AV$21:$AV$26)+SUMIF($AS$21:$AS$26,N14,$AW$21:$AW$26)</f>
        <v>7</v>
      </c>
      <c r="Q14" s="32">
        <f>SUMIF($AR$21:$AR$26,N14,$AT$21:$AT$26)+SUMIF($AS$21:$AS$26,N14,$AU$21:$AU$26)</f>
        <v>8</v>
      </c>
      <c r="R14" s="32">
        <f>-SUMIF($AR$21:$AR$26,N14,$AU$21:$AU$26)-SUMIF($AS$21:$AS$26,N14,$AT$21:$AT$26)</f>
        <v>-3</v>
      </c>
      <c r="S14" s="32">
        <f>SUM(Q14:R14)</f>
        <v>5</v>
      </c>
      <c r="T14" s="32">
        <f>RANK(P14,$P$14:$P$17,0)</f>
        <v>1</v>
      </c>
      <c r="U14" s="32">
        <f>RANK(S14,$S$14:$S$17,0)</f>
        <v>1</v>
      </c>
      <c r="V14" s="32">
        <f>RANK(Q14,$Q$14:$Q$17,0)</f>
        <v>1</v>
      </c>
      <c r="W14" s="64">
        <v>1E-3</v>
      </c>
      <c r="X14" s="37">
        <f>IF(COUNTIF($T$14:$T$17,T14)&gt;1,U14,0)</f>
        <v>1</v>
      </c>
      <c r="Y14" s="38">
        <f>IF(X14=MAX($X$14:$X$17),0.2,0)</f>
        <v>0</v>
      </c>
      <c r="Z14" s="49">
        <f>Y14+T14</f>
        <v>1</v>
      </c>
      <c r="AA14" s="46">
        <f>IF(COUNTIF($Z$14:$Z$17,Z14)&gt;1,V14,0)</f>
        <v>0</v>
      </c>
      <c r="AB14" s="43">
        <f>IF(AA14=MAX($AA$14:$AA$17),0.1,0)</f>
        <v>0.1</v>
      </c>
      <c r="AC14" s="70">
        <f>Z14+AB14+W14</f>
        <v>1.101</v>
      </c>
      <c r="AD14" s="67">
        <f>_xlfn.RANK.EQ(AC14,$AC$14:$AC$17,1)</f>
        <v>1</v>
      </c>
      <c r="AF14" s="52">
        <v>1</v>
      </c>
      <c r="AG14" s="53" t="str">
        <f>INDEX($N$14:$N$17,MATCH($AF14,$AD$14:$AD$17,0),)</f>
        <v>Argentina</v>
      </c>
      <c r="AH14" s="53">
        <f>INDEX($P$14:$P$17,MATCH($AF14,$AD$14:$AD$17,0),)</f>
        <v>7</v>
      </c>
      <c r="AI14" s="61">
        <f>INDEX($S$14:$S$17,MATCH($AF14,$AD$14:$AD$17,0),)</f>
        <v>5</v>
      </c>
      <c r="AJ14" s="54">
        <f>INDEX($Q$14:$Q$17,MATCH($AF14,$AD$14:$AD$17,0),)</f>
        <v>8</v>
      </c>
      <c r="AL14">
        <f>COUNTIF(Tippa!$J$45:$J$48,Beräkningar!AF14)</f>
        <v>1</v>
      </c>
      <c r="AM14">
        <f>Tippa!J45</f>
        <v>1</v>
      </c>
      <c r="AN14" t="str">
        <f>AM14&amp;"C"</f>
        <v>1C</v>
      </c>
      <c r="AO14">
        <f>INDEX(AM14:AM17,MATCH(N14,AG14:AG17,0),)</f>
        <v>1</v>
      </c>
      <c r="AP14" t="str">
        <f>Tippa!A35</f>
        <v>B2</v>
      </c>
      <c r="AQ14" s="3" t="str">
        <f>Tippa!C35</f>
        <v>England - Iran</v>
      </c>
      <c r="AR14" s="3" t="str">
        <f t="shared" ref="AR14:AR18" si="46">INDEX($G$4:$G$51,MATCH(AP14,$K$4:$K$51,0),)</f>
        <v>England</v>
      </c>
      <c r="AS14" s="3" t="str">
        <f t="shared" ref="AS14:AS15" si="47">INDEX($H$4:$H$51,MATCH(AP14,$K$4:$K$51,0),)</f>
        <v>Iran</v>
      </c>
      <c r="AT14" s="76">
        <f>Tippa!G35</f>
        <v>4</v>
      </c>
      <c r="AU14" s="76">
        <f>Tippa!H35</f>
        <v>0</v>
      </c>
      <c r="AV14" s="73">
        <f t="shared" ref="AV14:AV18" si="48">IF(AT14="-",0,IF(AT14&gt;AU14,3,IF(AT14=AU14,1,0)))</f>
        <v>3</v>
      </c>
      <c r="AW14" s="73">
        <f t="shared" ref="AW14:AW18" si="49">IF(AT14="-",0,IF(AU14&gt;AT14,3,IF(AU14=AT14,1,0)))</f>
        <v>0</v>
      </c>
    </row>
    <row r="15" spans="2:53" x14ac:dyDescent="0.2">
      <c r="B15" s="14" t="s">
        <v>355</v>
      </c>
      <c r="C15" s="15">
        <v>0.45833333333333331</v>
      </c>
      <c r="D15" s="16" t="s">
        <v>58</v>
      </c>
      <c r="E15" s="16" t="str">
        <f t="shared" si="44"/>
        <v>F3</v>
      </c>
      <c r="F15" s="16" t="str">
        <f t="shared" si="45"/>
        <v>F4</v>
      </c>
      <c r="G15" s="16" t="str">
        <f t="shared" si="3"/>
        <v>Marocko</v>
      </c>
      <c r="H15" s="16" t="str">
        <f t="shared" si="2"/>
        <v>Kroatien</v>
      </c>
      <c r="I15" s="16" t="str">
        <f t="shared" si="4"/>
        <v>F</v>
      </c>
      <c r="J15" s="16">
        <f>COUNTIF($I$4:I15,I15)</f>
        <v>2</v>
      </c>
      <c r="K15" s="17" t="str">
        <f t="shared" si="5"/>
        <v>F2</v>
      </c>
      <c r="M15" s="18" t="s">
        <v>115</v>
      </c>
      <c r="N15" s="6" t="s">
        <v>199</v>
      </c>
      <c r="P15" s="33">
        <f t="shared" ref="P15:P17" si="50">SUMIF($AR$21:$AR$26,N15,$AV$21:$AV$26)+SUMIF($AS$21:$AS$26,N15,$AW$21:$AW$26)</f>
        <v>0</v>
      </c>
      <c r="Q15" s="34">
        <f t="shared" ref="Q15:Q17" si="51">SUMIF($AR$21:$AR$26,N15,$AT$21:$AT$26)+SUMIF($AS$21:$AS$26,N15,$AU$21:$AU$26)</f>
        <v>0</v>
      </c>
      <c r="R15" s="34">
        <f t="shared" ref="R15:R17" si="52">-SUMIF($AR$21:$AR$26,N15,$AU$21:$AU$26)-SUMIF($AS$21:$AS$26,N15,$AT$21:$AT$26)</f>
        <v>-7</v>
      </c>
      <c r="S15" s="34">
        <f t="shared" ref="S15:S17" si="53">SUM(Q15:R15)</f>
        <v>-7</v>
      </c>
      <c r="T15" s="34">
        <f t="shared" ref="T15:T17" si="54">RANK(P15,$P$14:$P$17,0)</f>
        <v>4</v>
      </c>
      <c r="U15" s="34">
        <f t="shared" ref="U15:U17" si="55">RANK(S15,$S$14:$S$17,0)</f>
        <v>4</v>
      </c>
      <c r="V15" s="34">
        <f t="shared" ref="V15:V17" si="56">RANK(Q15,$Q$14:$Q$17,0)</f>
        <v>4</v>
      </c>
      <c r="W15" s="65">
        <f>W14+0.001</f>
        <v>2E-3</v>
      </c>
      <c r="X15" s="39">
        <f t="shared" ref="X15:X17" si="57">IF(COUNTIF($T$14:$T$17,T15)&gt;1,U15,0)</f>
        <v>0</v>
      </c>
      <c r="Y15" s="40">
        <f t="shared" ref="Y15:Y17" si="58">IF(X15=MAX($X$14:$X$17),0.2,0)</f>
        <v>0</v>
      </c>
      <c r="Z15" s="50">
        <f t="shared" ref="Z15:Z17" si="59">Y15+T15</f>
        <v>4</v>
      </c>
      <c r="AA15" s="47">
        <f t="shared" ref="AA15:AA17" si="60">IF(COUNTIF($Z$14:$Z$17,Z15)&gt;1,V15,0)</f>
        <v>0</v>
      </c>
      <c r="AB15" s="44">
        <f t="shared" ref="AB15:AB17" si="61">IF(AA15=MAX($AA$14:$AA$17),0.1,0)</f>
        <v>0.1</v>
      </c>
      <c r="AC15" s="71">
        <f t="shared" ref="AC15:AC17" si="62">Z15+AB15+W15</f>
        <v>4.1019999999999994</v>
      </c>
      <c r="AD15" s="68">
        <f t="shared" ref="AD15:AD17" si="63">_xlfn.RANK.EQ(AC15,$AC$14:$AC$17,1)</f>
        <v>4</v>
      </c>
      <c r="AF15" s="55">
        <v>2</v>
      </c>
      <c r="AG15" s="56" t="str">
        <f t="shared" ref="AG15:AG17" si="64">INDEX($N$14:$N$17,MATCH($AF15,$AD$14:$AD$17,0),)</f>
        <v>Mexiko</v>
      </c>
      <c r="AH15" s="56">
        <f>INDEX($P$14:$P$17,MATCH($AF15,$AD$14:$AD$17,0),)</f>
        <v>7</v>
      </c>
      <c r="AI15" s="62">
        <f t="shared" ref="AI15:AI17" si="65">INDEX($S$14:$S$17,MATCH($AF15,$AD$14:$AD$17,0),)</f>
        <v>3</v>
      </c>
      <c r="AJ15" s="57">
        <f t="shared" ref="AJ15:AJ17" si="66">INDEX($Q$14:$Q$17,MATCH($AF15,$AD$14:$AD$17,0),)</f>
        <v>6</v>
      </c>
      <c r="AL15">
        <f>COUNTIF(Tippa!$J$45:$J$48,Beräkningar!AF15)</f>
        <v>1</v>
      </c>
      <c r="AM15">
        <f>Tippa!J46</f>
        <v>2</v>
      </c>
      <c r="AN15" t="str">
        <f t="shared" ref="AN15:AN17" si="67">AM15&amp;"C"</f>
        <v>2C</v>
      </c>
      <c r="AO15">
        <f>INDEX(AM14:AM17,MATCH(N15,AG14:AG17,0),)</f>
        <v>4</v>
      </c>
      <c r="AP15" t="str">
        <f>Tippa!A36</f>
        <v>B3</v>
      </c>
      <c r="AQ15" s="3" t="str">
        <f>Tippa!C36</f>
        <v>England - USA</v>
      </c>
      <c r="AR15" s="3" t="str">
        <f t="shared" si="46"/>
        <v>England</v>
      </c>
      <c r="AS15" s="3" t="str">
        <f t="shared" si="47"/>
        <v>USA</v>
      </c>
      <c r="AT15" s="76">
        <f>Tippa!G36</f>
        <v>2</v>
      </c>
      <c r="AU15" s="76">
        <f>Tippa!H36</f>
        <v>2</v>
      </c>
      <c r="AV15" s="73">
        <f t="shared" si="48"/>
        <v>1</v>
      </c>
      <c r="AW15" s="73">
        <f t="shared" si="49"/>
        <v>1</v>
      </c>
    </row>
    <row r="16" spans="2:53" x14ac:dyDescent="0.2">
      <c r="B16" s="19" t="s">
        <v>356</v>
      </c>
      <c r="C16" s="20">
        <v>0.83333333333333337</v>
      </c>
      <c r="D16" s="21" t="s">
        <v>59</v>
      </c>
      <c r="E16" s="21" t="str">
        <f t="shared" si="44"/>
        <v>G1</v>
      </c>
      <c r="F16" s="21" t="str">
        <f t="shared" si="45"/>
        <v>G2</v>
      </c>
      <c r="G16" s="21" t="str">
        <f t="shared" si="3"/>
        <v>Brasilien</v>
      </c>
      <c r="H16" s="21" t="str">
        <f t="shared" si="2"/>
        <v>Serbien</v>
      </c>
      <c r="I16" s="21" t="str">
        <f t="shared" si="4"/>
        <v>G</v>
      </c>
      <c r="J16" s="21">
        <f>COUNTIF($I$4:I16,I16)</f>
        <v>1</v>
      </c>
      <c r="K16" s="22" t="str">
        <f t="shared" si="5"/>
        <v>G1</v>
      </c>
      <c r="M16" s="18" t="s">
        <v>116</v>
      </c>
      <c r="N16" s="6" t="s">
        <v>208</v>
      </c>
      <c r="P16" s="33">
        <f t="shared" si="50"/>
        <v>7</v>
      </c>
      <c r="Q16" s="34">
        <f t="shared" si="51"/>
        <v>6</v>
      </c>
      <c r="R16" s="34">
        <f t="shared" si="52"/>
        <v>-3</v>
      </c>
      <c r="S16" s="34">
        <f t="shared" si="53"/>
        <v>3</v>
      </c>
      <c r="T16" s="34">
        <f t="shared" si="54"/>
        <v>1</v>
      </c>
      <c r="U16" s="34">
        <f t="shared" si="55"/>
        <v>2</v>
      </c>
      <c r="V16" s="34">
        <f t="shared" si="56"/>
        <v>2</v>
      </c>
      <c r="W16" s="65">
        <f t="shared" ref="W16:W17" si="68">W15+0.001</f>
        <v>3.0000000000000001E-3</v>
      </c>
      <c r="X16" s="39">
        <f t="shared" si="57"/>
        <v>2</v>
      </c>
      <c r="Y16" s="40">
        <f t="shared" si="58"/>
        <v>0.2</v>
      </c>
      <c r="Z16" s="50">
        <f t="shared" si="59"/>
        <v>1.2</v>
      </c>
      <c r="AA16" s="47">
        <f t="shared" si="60"/>
        <v>0</v>
      </c>
      <c r="AB16" s="44">
        <f t="shared" si="61"/>
        <v>0.1</v>
      </c>
      <c r="AC16" s="71">
        <f t="shared" si="62"/>
        <v>1.3029999999999999</v>
      </c>
      <c r="AD16" s="68">
        <f t="shared" si="63"/>
        <v>2</v>
      </c>
      <c r="AF16" s="55">
        <v>3</v>
      </c>
      <c r="AG16" s="56" t="str">
        <f t="shared" si="64"/>
        <v>Polen</v>
      </c>
      <c r="AH16" s="56">
        <f>INDEX($P$14:$P$17,MATCH($AF16,$AD$14:$AD$17,0),)</f>
        <v>3</v>
      </c>
      <c r="AI16" s="62">
        <f t="shared" si="65"/>
        <v>-1</v>
      </c>
      <c r="AJ16" s="57">
        <f t="shared" si="66"/>
        <v>3</v>
      </c>
      <c r="AL16">
        <f>COUNTIF(Tippa!$J$45:$J$48,Beräkningar!AF16)</f>
        <v>1</v>
      </c>
      <c r="AM16">
        <f>Tippa!J47</f>
        <v>3</v>
      </c>
      <c r="AN16" t="str">
        <f t="shared" si="67"/>
        <v>3C</v>
      </c>
      <c r="AO16">
        <f>INDEX(AM14:AM17,MATCH(N16,AG14:AG17,0),)</f>
        <v>2</v>
      </c>
      <c r="AP16" t="str">
        <f>Tippa!A37</f>
        <v>B4</v>
      </c>
      <c r="AQ16" s="3" t="str">
        <f>Tippa!C37</f>
        <v>Wales - Iran</v>
      </c>
      <c r="AR16" s="3" t="str">
        <f t="shared" si="46"/>
        <v>Wales</v>
      </c>
      <c r="AS16" s="3" t="str">
        <f>INDEX($H$4:$H$51,MATCH(AP16,$K$4:$K$51,0),)</f>
        <v>Iran</v>
      </c>
      <c r="AT16" s="76">
        <f>Tippa!G37</f>
        <v>2</v>
      </c>
      <c r="AU16" s="76">
        <f>Tippa!H37</f>
        <v>0</v>
      </c>
      <c r="AV16" s="73">
        <f t="shared" si="48"/>
        <v>3</v>
      </c>
      <c r="AW16" s="73">
        <f t="shared" si="49"/>
        <v>0</v>
      </c>
    </row>
    <row r="17" spans="2:49" x14ac:dyDescent="0.2">
      <c r="B17" s="14" t="s">
        <v>356</v>
      </c>
      <c r="C17" s="15">
        <v>0.45833333333333331</v>
      </c>
      <c r="D17" s="16" t="s">
        <v>60</v>
      </c>
      <c r="E17" s="16" t="str">
        <f t="shared" si="44"/>
        <v>G3</v>
      </c>
      <c r="F17" s="16" t="str">
        <f t="shared" si="45"/>
        <v>G4</v>
      </c>
      <c r="G17" s="16" t="str">
        <f t="shared" si="3"/>
        <v>Schweiz</v>
      </c>
      <c r="H17" s="16" t="str">
        <f t="shared" si="2"/>
        <v>Kamerun</v>
      </c>
      <c r="I17" s="16" t="str">
        <f t="shared" si="4"/>
        <v>G</v>
      </c>
      <c r="J17" s="16">
        <f>COUNTIF($I$4:I17,I17)</f>
        <v>2</v>
      </c>
      <c r="K17" s="17" t="str">
        <f t="shared" si="5"/>
        <v>G2</v>
      </c>
      <c r="M17" s="23" t="s">
        <v>117</v>
      </c>
      <c r="N17" s="7" t="s">
        <v>40</v>
      </c>
      <c r="P17" s="35">
        <f t="shared" si="50"/>
        <v>3</v>
      </c>
      <c r="Q17" s="36">
        <f t="shared" si="51"/>
        <v>3</v>
      </c>
      <c r="R17" s="36">
        <f t="shared" si="52"/>
        <v>-4</v>
      </c>
      <c r="S17" s="36">
        <f t="shared" si="53"/>
        <v>-1</v>
      </c>
      <c r="T17" s="36">
        <f t="shared" si="54"/>
        <v>3</v>
      </c>
      <c r="U17" s="36">
        <f t="shared" si="55"/>
        <v>3</v>
      </c>
      <c r="V17" s="36">
        <f t="shared" si="56"/>
        <v>3</v>
      </c>
      <c r="W17" s="66">
        <f t="shared" si="68"/>
        <v>4.0000000000000001E-3</v>
      </c>
      <c r="X17" s="41">
        <f t="shared" si="57"/>
        <v>0</v>
      </c>
      <c r="Y17" s="42">
        <f t="shared" si="58"/>
        <v>0</v>
      </c>
      <c r="Z17" s="51">
        <f t="shared" si="59"/>
        <v>3</v>
      </c>
      <c r="AA17" s="48">
        <f t="shared" si="60"/>
        <v>0</v>
      </c>
      <c r="AB17" s="45">
        <f t="shared" si="61"/>
        <v>0.1</v>
      </c>
      <c r="AC17" s="72">
        <f t="shared" si="62"/>
        <v>3.1040000000000001</v>
      </c>
      <c r="AD17" s="69">
        <f t="shared" si="63"/>
        <v>3</v>
      </c>
      <c r="AF17" s="58">
        <v>4</v>
      </c>
      <c r="AG17" s="59" t="str">
        <f t="shared" si="64"/>
        <v>Saudiarabien</v>
      </c>
      <c r="AH17" s="59">
        <f>INDEX($P$14:$P$17,MATCH($AF17,$AD$14:$AD$17,0),)</f>
        <v>0</v>
      </c>
      <c r="AI17" s="63">
        <f t="shared" si="65"/>
        <v>-7</v>
      </c>
      <c r="AJ17" s="60">
        <f t="shared" si="66"/>
        <v>0</v>
      </c>
      <c r="AL17">
        <f>COUNTIF(Tippa!$J$45:$J$48,Beräkningar!AF17)</f>
        <v>1</v>
      </c>
      <c r="AM17">
        <f>Tippa!J48</f>
        <v>4</v>
      </c>
      <c r="AN17" t="str">
        <f t="shared" si="67"/>
        <v>4C</v>
      </c>
      <c r="AO17">
        <f>INDEX(AM14:AM17,MATCH(N17,AG14:AG17,0),)</f>
        <v>3</v>
      </c>
      <c r="AP17" t="str">
        <f>Tippa!A38</f>
        <v>B5</v>
      </c>
      <c r="AQ17" s="3" t="str">
        <f>Tippa!C38</f>
        <v>Iran - USA</v>
      </c>
      <c r="AR17" s="3" t="str">
        <f t="shared" si="46"/>
        <v>Iran</v>
      </c>
      <c r="AS17" s="3" t="str">
        <f t="shared" ref="AS17:AS18" si="69">INDEX($H$4:$H$51,MATCH(AP17,$K$4:$K$51,0),)</f>
        <v>USA</v>
      </c>
      <c r="AT17" s="76">
        <f>Tippa!G38</f>
        <v>1</v>
      </c>
      <c r="AU17" s="76">
        <f>Tippa!H38</f>
        <v>3</v>
      </c>
      <c r="AV17" s="73">
        <f t="shared" si="48"/>
        <v>0</v>
      </c>
      <c r="AW17" s="73">
        <f t="shared" si="49"/>
        <v>3</v>
      </c>
    </row>
    <row r="18" spans="2:49" x14ac:dyDescent="0.2">
      <c r="B18" s="19" t="s">
        <v>356</v>
      </c>
      <c r="C18" s="20">
        <v>0.70833333333333337</v>
      </c>
      <c r="D18" s="21" t="s">
        <v>61</v>
      </c>
      <c r="E18" s="21" t="str">
        <f t="shared" si="44"/>
        <v>H1</v>
      </c>
      <c r="F18" s="21" t="str">
        <f t="shared" si="45"/>
        <v>H2</v>
      </c>
      <c r="G18" s="21" t="str">
        <f t="shared" si="3"/>
        <v>Portugal</v>
      </c>
      <c r="H18" s="21" t="str">
        <f t="shared" si="2"/>
        <v>Ghana</v>
      </c>
      <c r="I18" s="21" t="str">
        <f t="shared" si="4"/>
        <v>H</v>
      </c>
      <c r="J18" s="21">
        <f>COUNTIF($I$4:I18,I18)</f>
        <v>1</v>
      </c>
      <c r="K18" s="22" t="str">
        <f t="shared" si="5"/>
        <v>H1</v>
      </c>
      <c r="AP18" t="str">
        <f>Tippa!A39</f>
        <v>B6</v>
      </c>
      <c r="AQ18" s="4" t="str">
        <f>Tippa!C39</f>
        <v>Wales - England</v>
      </c>
      <c r="AR18" s="4" t="str">
        <f t="shared" si="46"/>
        <v>Wales</v>
      </c>
      <c r="AS18" s="4" t="str">
        <f t="shared" si="69"/>
        <v>England</v>
      </c>
      <c r="AT18" s="76">
        <f>Tippa!G39</f>
        <v>1</v>
      </c>
      <c r="AU18" s="76">
        <f>Tippa!H39</f>
        <v>1</v>
      </c>
      <c r="AV18" s="73">
        <f t="shared" si="48"/>
        <v>1</v>
      </c>
      <c r="AW18" s="73">
        <f t="shared" si="49"/>
        <v>1</v>
      </c>
    </row>
    <row r="19" spans="2:49" x14ac:dyDescent="0.2">
      <c r="B19" s="14" t="s">
        <v>356</v>
      </c>
      <c r="C19" s="15">
        <v>0.58333333333333337</v>
      </c>
      <c r="D19" s="16" t="s">
        <v>62</v>
      </c>
      <c r="E19" s="16" t="str">
        <f t="shared" si="44"/>
        <v>H3</v>
      </c>
      <c r="F19" s="16" t="str">
        <f t="shared" si="45"/>
        <v>H4</v>
      </c>
      <c r="G19" s="16" t="str">
        <f t="shared" si="3"/>
        <v>Uruguay</v>
      </c>
      <c r="H19" s="16" t="str">
        <f t="shared" si="2"/>
        <v>Sydkorea</v>
      </c>
      <c r="I19" s="16" t="str">
        <f t="shared" si="4"/>
        <v>H</v>
      </c>
      <c r="J19" s="16">
        <f>COUNTIF($I$4:I19,I19)</f>
        <v>2</v>
      </c>
      <c r="K19" s="17" t="str">
        <f t="shared" si="5"/>
        <v>H2</v>
      </c>
      <c r="M19" s="13" t="s">
        <v>118</v>
      </c>
      <c r="N19" s="5" t="s">
        <v>24</v>
      </c>
      <c r="P19" s="31">
        <f>SUMIF($AR$29:$AR$34,N19,$AV$29:$AV$34)+SUMIF($AS$29:$AS$34,N19,$AW$29:$AW$34)</f>
        <v>9</v>
      </c>
      <c r="Q19" s="32">
        <f>SUMIF($AR$29:$AR$34,N19,$AT$29:$AT$34)+SUMIF($AS$29:$AS$34,N19,$AU$29:$AU$34)</f>
        <v>7</v>
      </c>
      <c r="R19" s="32">
        <f>-SUMIF($AR$29:$AR$34,N19,$AU$29:$AU$34)-SUMIF($AS$29:$AS$34,N19,$AT$29:$AT$34)</f>
        <v>0</v>
      </c>
      <c r="S19" s="32">
        <f>SUM(Q19:R19)</f>
        <v>7</v>
      </c>
      <c r="T19" s="32">
        <f>RANK(P19,$P$19:$P$22,0)</f>
        <v>1</v>
      </c>
      <c r="U19" s="32">
        <f>RANK(S19,$S$19:$S$22,0)</f>
        <v>1</v>
      </c>
      <c r="V19" s="32">
        <f>RANK(Q19,$Q$19:$Q$22,0)</f>
        <v>1</v>
      </c>
      <c r="W19" s="64">
        <v>1E-3</v>
      </c>
      <c r="X19" s="37">
        <f>IF(COUNTIF($T$19:$T$22,T19)&gt;1,U19,0)</f>
        <v>0</v>
      </c>
      <c r="Y19" s="38">
        <f>IF(X19=MAX($X$19:$X$22),0.2,0)</f>
        <v>0</v>
      </c>
      <c r="Z19" s="49">
        <f>Y19+T19</f>
        <v>1</v>
      </c>
      <c r="AA19" s="46">
        <f>IF(COUNTIF($Z$19:$Z$22,Z19)&gt;1,V19,0)</f>
        <v>0</v>
      </c>
      <c r="AB19" s="43">
        <f>IF(AA19=MAX($AA$19:$AA$22),0.1,0)</f>
        <v>0.1</v>
      </c>
      <c r="AC19" s="70">
        <f>Z19+AB19+W19</f>
        <v>1.101</v>
      </c>
      <c r="AD19" s="67">
        <f>_xlfn.RANK.EQ(AC19,$AC$19:$AC$22,1)</f>
        <v>1</v>
      </c>
      <c r="AF19" s="52">
        <v>1</v>
      </c>
      <c r="AG19" s="53" t="str">
        <f>INDEX($N$19:$N$22,MATCH($AF19,$AD$19:$AD$22,0),)</f>
        <v>Frankrike</v>
      </c>
      <c r="AH19" s="53">
        <f>INDEX($P$19:$P$22,MATCH($AF19,$AD$19:$AD$22,0),)</f>
        <v>9</v>
      </c>
      <c r="AI19" s="61">
        <f>INDEX($S$19:$S$22,MATCH($AF19,$AD$19:$AD$22,0),)</f>
        <v>7</v>
      </c>
      <c r="AJ19" s="54">
        <f>INDEX($Q$19:$Q$22,MATCH($AF19,$AD$19:$AD$22,0),)</f>
        <v>7</v>
      </c>
      <c r="AL19">
        <f>COUNTIF(Tippa!$J$56:$J$59,Beräkningar!AF19)</f>
        <v>1</v>
      </c>
      <c r="AM19">
        <f>Tippa!J56</f>
        <v>1</v>
      </c>
      <c r="AN19" t="str">
        <f>AM19&amp;"D"</f>
        <v>1D</v>
      </c>
      <c r="AO19">
        <f>INDEX(AM19:AM22,MATCH(N19,AG19:AG22,0),)</f>
        <v>1</v>
      </c>
      <c r="AV19" s="74"/>
      <c r="AW19" s="74"/>
    </row>
    <row r="20" spans="2:49" x14ac:dyDescent="0.2">
      <c r="B20" s="19" t="s">
        <v>357</v>
      </c>
      <c r="C20" s="20">
        <v>0.58333333333333337</v>
      </c>
      <c r="D20" s="21" t="s">
        <v>107</v>
      </c>
      <c r="E20" s="21" t="str">
        <f t="shared" si="44"/>
        <v>A1</v>
      </c>
      <c r="F20" s="21" t="str">
        <f t="shared" si="45"/>
        <v>A3</v>
      </c>
      <c r="G20" s="21" t="str">
        <f t="shared" si="3"/>
        <v>Qatar</v>
      </c>
      <c r="H20" s="21" t="str">
        <f t="shared" si="2"/>
        <v>Senegal</v>
      </c>
      <c r="I20" s="21" t="str">
        <f t="shared" si="4"/>
        <v>A</v>
      </c>
      <c r="J20" s="21">
        <f>COUNTIF($I$4:I20,I20)</f>
        <v>3</v>
      </c>
      <c r="K20" s="22" t="str">
        <f t="shared" si="5"/>
        <v>A3</v>
      </c>
      <c r="M20" s="18" t="s">
        <v>119</v>
      </c>
      <c r="N20" s="6" t="s">
        <v>204</v>
      </c>
      <c r="P20" s="33">
        <f t="shared" ref="P20:P22" si="70">SUMIF($AR$29:$AR$34,N20,$AV$29:$AV$34)+SUMIF($AS$29:$AS$34,N20,$AW$29:$AW$34)</f>
        <v>1</v>
      </c>
      <c r="Q20" s="34">
        <f t="shared" ref="Q20:Q22" si="71">SUMIF($AR$29:$AR$34,N20,$AT$29:$AT$34)+SUMIF($AS$29:$AS$34,N20,$AU$29:$AU$34)</f>
        <v>1</v>
      </c>
      <c r="R20" s="34">
        <f t="shared" ref="R20:R22" si="72">-SUMIF($AR$29:$AR$34,N20,$AU$29:$AU$34)-SUMIF($AS$29:$AS$34,N20,$AT$29:$AT$34)</f>
        <v>-8</v>
      </c>
      <c r="S20" s="34">
        <f t="shared" ref="S20:S22" si="73">SUM(Q20:R20)</f>
        <v>-7</v>
      </c>
      <c r="T20" s="34">
        <f t="shared" ref="T20:T22" si="74">RANK(P20,$P$19:$P$22,0)</f>
        <v>3</v>
      </c>
      <c r="U20" s="34">
        <f t="shared" ref="U20:U22" si="75">RANK(S20,$S$19:$S$22,0)</f>
        <v>4</v>
      </c>
      <c r="V20" s="34">
        <f t="shared" ref="V20:V22" si="76">RANK(Q20,$Q$19:$Q$22,0)</f>
        <v>4</v>
      </c>
      <c r="W20" s="65">
        <f>W19+0.001</f>
        <v>2E-3</v>
      </c>
      <c r="X20" s="39">
        <f t="shared" ref="X20:X22" si="77">IF(COUNTIF($T$19:$T$22,T20)&gt;1,U20,0)</f>
        <v>4</v>
      </c>
      <c r="Y20" s="40">
        <f t="shared" ref="Y20:Y22" si="78">IF(X20=MAX($X$19:$X$22),0.2,0)</f>
        <v>0.2</v>
      </c>
      <c r="Z20" s="50">
        <f t="shared" ref="Z20:Z22" si="79">Y20+T20</f>
        <v>3.2</v>
      </c>
      <c r="AA20" s="47">
        <f t="shared" ref="AA20:AA22" si="80">IF(COUNTIF($Z$19:$Z$22,Z20)&gt;1,V20,0)</f>
        <v>0</v>
      </c>
      <c r="AB20" s="44">
        <f t="shared" ref="AB20:AB22" si="81">IF(AA20=MAX($AA$19:$AA$22),0.1,0)</f>
        <v>0.1</v>
      </c>
      <c r="AC20" s="71">
        <f t="shared" ref="AC20:AC22" si="82">Z20+AB20+W20</f>
        <v>3.302</v>
      </c>
      <c r="AD20" s="68">
        <f t="shared" ref="AD20:AD22" si="83">_xlfn.RANK.EQ(AC20,$AC$19:$AC$22,1)</f>
        <v>4</v>
      </c>
      <c r="AF20" s="55">
        <v>2</v>
      </c>
      <c r="AG20" s="56" t="str">
        <f t="shared" ref="AG20:AG22" si="84">INDEX($N$19:$N$22,MATCH($AF20,$AD$19:$AD$22,0),)</f>
        <v>Danmark</v>
      </c>
      <c r="AH20" s="56">
        <f t="shared" ref="AH20:AH22" si="85">INDEX($P$19:$P$22,MATCH($AF20,$AD$19:$AD$22,0),)</f>
        <v>6</v>
      </c>
      <c r="AI20" s="62">
        <f t="shared" ref="AI20:AI22" si="86">INDEX($S$19:$S$22,MATCH($AF20,$AD$19:$AD$22,0),)</f>
        <v>3</v>
      </c>
      <c r="AJ20" s="57">
        <f t="shared" ref="AJ20:AJ22" si="87">INDEX($Q$19:$Q$22,MATCH($AF20,$AD$19:$AD$22,0),)</f>
        <v>5</v>
      </c>
      <c r="AL20">
        <f>COUNTIF(Tippa!$J$56:$J$59,Beräkningar!AF20)</f>
        <v>1</v>
      </c>
      <c r="AM20">
        <f>Tippa!J57</f>
        <v>2</v>
      </c>
      <c r="AN20" t="str">
        <f t="shared" ref="AN20:AN22" si="88">AM20&amp;"D"</f>
        <v>2D</v>
      </c>
      <c r="AO20">
        <f>INDEX(AM19:AM22,MATCH(N20,AG19:AG22,0),)</f>
        <v>4</v>
      </c>
      <c r="AQ20" s="1" t="s">
        <v>8</v>
      </c>
      <c r="AR20" s="28"/>
      <c r="AS20" s="28"/>
      <c r="AT20" s="8" t="s">
        <v>3</v>
      </c>
      <c r="AV20" s="75" t="s">
        <v>181</v>
      </c>
      <c r="AW20" s="74"/>
    </row>
    <row r="21" spans="2:49" x14ac:dyDescent="0.2">
      <c r="B21" s="14" t="s">
        <v>357</v>
      </c>
      <c r="C21" s="15">
        <v>0.83333333333333337</v>
      </c>
      <c r="D21" s="16" t="s">
        <v>63</v>
      </c>
      <c r="E21" s="16" t="str">
        <f t="shared" si="44"/>
        <v>B1</v>
      </c>
      <c r="F21" s="16" t="str">
        <f t="shared" si="45"/>
        <v>B3</v>
      </c>
      <c r="G21" s="16" t="str">
        <f t="shared" si="3"/>
        <v>England</v>
      </c>
      <c r="H21" s="16" t="str">
        <f t="shared" si="2"/>
        <v>USA</v>
      </c>
      <c r="I21" s="16" t="str">
        <f t="shared" si="4"/>
        <v>B</v>
      </c>
      <c r="J21" s="16">
        <f>COUNTIF($I$4:I21,I21)</f>
        <v>3</v>
      </c>
      <c r="K21" s="17" t="str">
        <f t="shared" si="5"/>
        <v>B3</v>
      </c>
      <c r="M21" s="18" t="s">
        <v>120</v>
      </c>
      <c r="N21" s="6" t="s">
        <v>205</v>
      </c>
      <c r="P21" s="33">
        <f t="shared" si="70"/>
        <v>6</v>
      </c>
      <c r="Q21" s="34">
        <f t="shared" si="71"/>
        <v>5</v>
      </c>
      <c r="R21" s="34">
        <f t="shared" si="72"/>
        <v>-2</v>
      </c>
      <c r="S21" s="34">
        <f t="shared" si="73"/>
        <v>3</v>
      </c>
      <c r="T21" s="34">
        <f t="shared" si="74"/>
        <v>2</v>
      </c>
      <c r="U21" s="34">
        <f t="shared" si="75"/>
        <v>2</v>
      </c>
      <c r="V21" s="34">
        <f t="shared" si="76"/>
        <v>2</v>
      </c>
      <c r="W21" s="65">
        <f t="shared" ref="W21:W22" si="89">W20+0.001</f>
        <v>3.0000000000000001E-3</v>
      </c>
      <c r="X21" s="39">
        <f t="shared" si="77"/>
        <v>0</v>
      </c>
      <c r="Y21" s="40">
        <f t="shared" si="78"/>
        <v>0</v>
      </c>
      <c r="Z21" s="50">
        <f t="shared" si="79"/>
        <v>2</v>
      </c>
      <c r="AA21" s="47">
        <f t="shared" si="80"/>
        <v>0</v>
      </c>
      <c r="AB21" s="44">
        <f t="shared" si="81"/>
        <v>0.1</v>
      </c>
      <c r="AC21" s="71">
        <f t="shared" si="82"/>
        <v>2.1030000000000002</v>
      </c>
      <c r="AD21" s="68">
        <f t="shared" si="83"/>
        <v>2</v>
      </c>
      <c r="AF21" s="55">
        <v>3</v>
      </c>
      <c r="AG21" s="56" t="str">
        <f t="shared" si="84"/>
        <v>Tunisien</v>
      </c>
      <c r="AH21" s="56">
        <f t="shared" si="85"/>
        <v>1</v>
      </c>
      <c r="AI21" s="62">
        <f t="shared" si="86"/>
        <v>-3</v>
      </c>
      <c r="AJ21" s="57">
        <f t="shared" si="87"/>
        <v>2</v>
      </c>
      <c r="AL21">
        <f>COUNTIF(Tippa!$J$56:$J$59,Beräkningar!AF21)</f>
        <v>1</v>
      </c>
      <c r="AM21">
        <f>Tippa!J58</f>
        <v>3</v>
      </c>
      <c r="AN21" t="str">
        <f t="shared" si="88"/>
        <v>3D</v>
      </c>
      <c r="AO21">
        <f>INDEX(AM19:AM22,MATCH(N21,AG19:AG22,0),)</f>
        <v>2</v>
      </c>
      <c r="AP21" t="str">
        <f>Tippa!A45</f>
        <v>C1</v>
      </c>
      <c r="AQ21" s="2" t="str">
        <f>Tippa!C45</f>
        <v>Argentina - Saudiarabien</v>
      </c>
      <c r="AR21" s="2" t="str">
        <f>INDEX($G$4:$G$51,MATCH(AP21,$K$4:$K$51,0),)</f>
        <v>Argentina</v>
      </c>
      <c r="AS21" s="2" t="str">
        <f>INDEX($H$4:$H$51,MATCH(AP21,$K$4:$K$51,0),)</f>
        <v>Saudiarabien</v>
      </c>
      <c r="AT21" s="76">
        <f>Tippa!G45</f>
        <v>4</v>
      </c>
      <c r="AU21" s="76">
        <f>Tippa!H45</f>
        <v>0</v>
      </c>
      <c r="AV21" s="73">
        <f>IF(AT21="-",0,IF(AT21&gt;AU21,3,IF(AT21=AU21,1,0)))</f>
        <v>3</v>
      </c>
      <c r="AW21" s="73">
        <f>IF(AT21="-",0,IF(AU21&gt;AT21,3,IF(AU21=AT21,1,0)))</f>
        <v>0</v>
      </c>
    </row>
    <row r="22" spans="2:49" x14ac:dyDescent="0.2">
      <c r="B22" s="19" t="s">
        <v>357</v>
      </c>
      <c r="C22" s="20">
        <v>0.70833333333333337</v>
      </c>
      <c r="D22" s="21" t="s">
        <v>64</v>
      </c>
      <c r="E22" s="21" t="str">
        <f t="shared" si="44"/>
        <v>A4</v>
      </c>
      <c r="F22" s="21" t="str">
        <f t="shared" si="45"/>
        <v>A2</v>
      </c>
      <c r="G22" s="21" t="str">
        <f t="shared" si="3"/>
        <v>Nederländerna</v>
      </c>
      <c r="H22" s="21" t="str">
        <f t="shared" si="2"/>
        <v>Ecuador</v>
      </c>
      <c r="I22" s="21" t="str">
        <f t="shared" si="4"/>
        <v>A</v>
      </c>
      <c r="J22" s="21">
        <f>COUNTIF($I$4:I22,I22)</f>
        <v>4</v>
      </c>
      <c r="K22" s="22" t="str">
        <f t="shared" si="5"/>
        <v>A4</v>
      </c>
      <c r="M22" s="23" t="s">
        <v>121</v>
      </c>
      <c r="N22" s="7" t="s">
        <v>211</v>
      </c>
      <c r="P22" s="35">
        <f t="shared" si="70"/>
        <v>1</v>
      </c>
      <c r="Q22" s="36">
        <f t="shared" si="71"/>
        <v>2</v>
      </c>
      <c r="R22" s="36">
        <f t="shared" si="72"/>
        <v>-5</v>
      </c>
      <c r="S22" s="36">
        <f t="shared" si="73"/>
        <v>-3</v>
      </c>
      <c r="T22" s="36">
        <f t="shared" si="74"/>
        <v>3</v>
      </c>
      <c r="U22" s="36">
        <f t="shared" si="75"/>
        <v>3</v>
      </c>
      <c r="V22" s="36">
        <f t="shared" si="76"/>
        <v>3</v>
      </c>
      <c r="W22" s="66">
        <f t="shared" si="89"/>
        <v>4.0000000000000001E-3</v>
      </c>
      <c r="X22" s="41">
        <f t="shared" si="77"/>
        <v>3</v>
      </c>
      <c r="Y22" s="42">
        <f t="shared" si="78"/>
        <v>0</v>
      </c>
      <c r="Z22" s="51">
        <f t="shared" si="79"/>
        <v>3</v>
      </c>
      <c r="AA22" s="48">
        <f t="shared" si="80"/>
        <v>0</v>
      </c>
      <c r="AB22" s="45">
        <f t="shared" si="81"/>
        <v>0.1</v>
      </c>
      <c r="AC22" s="72">
        <f t="shared" si="82"/>
        <v>3.1040000000000001</v>
      </c>
      <c r="AD22" s="69">
        <f t="shared" si="83"/>
        <v>3</v>
      </c>
      <c r="AF22" s="58">
        <v>4</v>
      </c>
      <c r="AG22" s="59" t="str">
        <f t="shared" si="84"/>
        <v>Australien</v>
      </c>
      <c r="AH22" s="59">
        <f t="shared" si="85"/>
        <v>1</v>
      </c>
      <c r="AI22" s="63">
        <f t="shared" si="86"/>
        <v>-7</v>
      </c>
      <c r="AJ22" s="60">
        <f t="shared" si="87"/>
        <v>1</v>
      </c>
      <c r="AL22">
        <f>COUNTIF(Tippa!$J$56:$J$59,Beräkningar!AF22)</f>
        <v>1</v>
      </c>
      <c r="AM22">
        <f>Tippa!J59</f>
        <v>4</v>
      </c>
      <c r="AN22" t="str">
        <f t="shared" si="88"/>
        <v>4D</v>
      </c>
      <c r="AO22">
        <f>INDEX(AM19:AM22,MATCH(N22,AG19:AG22,0),)</f>
        <v>3</v>
      </c>
      <c r="AP22" t="str">
        <f>Tippa!A46</f>
        <v>C2</v>
      </c>
      <c r="AQ22" s="3" t="str">
        <f>Tippa!C46</f>
        <v>Mexiko - Polen</v>
      </c>
      <c r="AR22" s="3" t="str">
        <f t="shared" ref="AR22:AR26" si="90">INDEX($G$4:$G$51,MATCH(AP22,$K$4:$K$51,0),)</f>
        <v>Mexiko</v>
      </c>
      <c r="AS22" s="3" t="str">
        <f t="shared" ref="AS22:AS23" si="91">INDEX($H$4:$H$51,MATCH(AP22,$K$4:$K$51,0),)</f>
        <v>Polen</v>
      </c>
      <c r="AT22" s="76">
        <f>Tippa!G46</f>
        <v>2</v>
      </c>
      <c r="AU22" s="76">
        <f>Tippa!H46</f>
        <v>1</v>
      </c>
      <c r="AV22" s="73">
        <f t="shared" ref="AV22:AV26" si="92">IF(AT22="-",0,IF(AT22&gt;AU22,3,IF(AT22=AU22,1,0)))</f>
        <v>3</v>
      </c>
      <c r="AW22" s="73">
        <f t="shared" ref="AW22:AW26" si="93">IF(AT22="-",0,IF(AU22&gt;AT22,3,IF(AU22=AT22,1,0)))</f>
        <v>0</v>
      </c>
    </row>
    <row r="23" spans="2:49" x14ac:dyDescent="0.2">
      <c r="B23" s="14" t="s">
        <v>357</v>
      </c>
      <c r="C23" s="15">
        <v>0.45833333333333331</v>
      </c>
      <c r="D23" s="16" t="s">
        <v>65</v>
      </c>
      <c r="E23" s="16" t="str">
        <f t="shared" si="44"/>
        <v>B4</v>
      </c>
      <c r="F23" s="16" t="str">
        <f t="shared" si="45"/>
        <v>B2</v>
      </c>
      <c r="G23" s="16" t="str">
        <f t="shared" si="3"/>
        <v>Wales</v>
      </c>
      <c r="H23" s="16" t="str">
        <f t="shared" si="2"/>
        <v>Iran</v>
      </c>
      <c r="I23" s="16" t="str">
        <f t="shared" si="4"/>
        <v>B</v>
      </c>
      <c r="J23" s="16">
        <f>COUNTIF($I$4:I23,I23)</f>
        <v>4</v>
      </c>
      <c r="K23" s="17" t="str">
        <f t="shared" si="5"/>
        <v>B4</v>
      </c>
      <c r="AP23" t="str">
        <f>Tippa!A47</f>
        <v>C3</v>
      </c>
      <c r="AQ23" s="3" t="str">
        <f>Tippa!C47</f>
        <v>Polen - Saudiarabien</v>
      </c>
      <c r="AR23" s="3" t="str">
        <f t="shared" si="90"/>
        <v>Polen</v>
      </c>
      <c r="AS23" s="3" t="str">
        <f t="shared" si="91"/>
        <v>Saudiarabien</v>
      </c>
      <c r="AT23" s="76">
        <f>Tippa!G47</f>
        <v>1</v>
      </c>
      <c r="AU23" s="76">
        <f>Tippa!H47</f>
        <v>0</v>
      </c>
      <c r="AV23" s="73">
        <f t="shared" si="92"/>
        <v>3</v>
      </c>
      <c r="AW23" s="73">
        <f t="shared" si="93"/>
        <v>0</v>
      </c>
    </row>
    <row r="24" spans="2:49" x14ac:dyDescent="0.2">
      <c r="B24" s="19" t="s">
        <v>358</v>
      </c>
      <c r="C24" s="20">
        <v>0.58333333333333337</v>
      </c>
      <c r="D24" s="21" t="s">
        <v>67</v>
      </c>
      <c r="E24" s="21" t="str">
        <f t="shared" si="44"/>
        <v>C4</v>
      </c>
      <c r="F24" s="21" t="str">
        <f t="shared" si="45"/>
        <v>C2</v>
      </c>
      <c r="G24" s="21" t="str">
        <f t="shared" si="3"/>
        <v>Polen</v>
      </c>
      <c r="H24" s="21" t="str">
        <f t="shared" si="2"/>
        <v>Saudiarabien</v>
      </c>
      <c r="I24" s="21" t="str">
        <f t="shared" si="4"/>
        <v>C</v>
      </c>
      <c r="J24" s="21">
        <f>COUNTIF($I$4:I24,I24)</f>
        <v>3</v>
      </c>
      <c r="K24" s="22" t="str">
        <f t="shared" si="5"/>
        <v>C3</v>
      </c>
      <c r="M24" s="13" t="s">
        <v>122</v>
      </c>
      <c r="N24" s="5" t="s">
        <v>21</v>
      </c>
      <c r="P24" s="31">
        <f>SUMIF($AR$37:$AR$42,N24,$AV$37:$AV$42)+SUMIF($AS$37:$AS$42,N24,$AW$37:$AW$42)</f>
        <v>5</v>
      </c>
      <c r="Q24" s="32">
        <f>SUMIF($AR$37:$AR$42,N24,$AT$37:$AT$42)+SUMIF($AS$37:$AS$42,N24,$AU$37:$AU$42)</f>
        <v>6</v>
      </c>
      <c r="R24" s="32">
        <f>-SUMIF($AR$37:$AR$42,N24,$AU$37:$AU$42)-SUMIF($AS$37:$AS$42,N24,$AT$37:$AT$42)</f>
        <v>-4</v>
      </c>
      <c r="S24" s="32">
        <f>SUM(Q24:R24)</f>
        <v>2</v>
      </c>
      <c r="T24" s="32">
        <f>RANK(P24,$P$24:$P$27,0)</f>
        <v>2</v>
      </c>
      <c r="U24" s="32">
        <f>RANK(S24,$S$24:$S$27,0)</f>
        <v>2</v>
      </c>
      <c r="V24" s="32">
        <f>RANK(Q24,$Q$24:$Q$27,0)</f>
        <v>2</v>
      </c>
      <c r="W24" s="64">
        <v>1E-3</v>
      </c>
      <c r="X24" s="37">
        <f>IF(COUNTIF($T$24:$T$27,T24)&gt;1,U24,0)</f>
        <v>0</v>
      </c>
      <c r="Y24" s="38">
        <f>IF(X24=MAX($X$24:$X$27),0.2,0)</f>
        <v>0.2</v>
      </c>
      <c r="Z24" s="49">
        <f>Y24+T24</f>
        <v>2.2000000000000002</v>
      </c>
      <c r="AA24" s="46">
        <f>IF(COUNTIF($Z$24:$Z$27,Z24)&gt;1,V24,0)</f>
        <v>0</v>
      </c>
      <c r="AB24" s="43">
        <f>IF(AA24=MAX($AA$24:$AA$27),0.1,0)</f>
        <v>0.1</v>
      </c>
      <c r="AC24" s="70">
        <f>Z24+AB24+W24</f>
        <v>2.3010000000000002</v>
      </c>
      <c r="AD24" s="67">
        <f>_xlfn.RANK.EQ(AC24,$AC$24:$AC$27,1)</f>
        <v>2</v>
      </c>
      <c r="AF24" s="52">
        <v>1</v>
      </c>
      <c r="AG24" s="53" t="str">
        <f>INDEX($N$24:$N$27,MATCH($AF24,$AD$24:$AD$27,0),)</f>
        <v>Tyskland</v>
      </c>
      <c r="AH24" s="53">
        <f>INDEX($P$24:$P$27,MATCH($AF24,$AD$24:$AD$27,0),)</f>
        <v>7</v>
      </c>
      <c r="AI24" s="61">
        <f>INDEX($S$24:$S$27,MATCH($AF24,$AD$24:$AD$27,0),)</f>
        <v>7</v>
      </c>
      <c r="AJ24" s="54">
        <f>INDEX($Q$24:$Q$27,MATCH($AF24,$AD$24:$AD$27,0),)</f>
        <v>10</v>
      </c>
      <c r="AL24">
        <f>COUNTIF(Tippa!$J$67:$J$70,Beräkningar!AF24)</f>
        <v>1</v>
      </c>
      <c r="AM24">
        <f>Tippa!J67</f>
        <v>1</v>
      </c>
      <c r="AN24" t="str">
        <f>AM24&amp;"E"</f>
        <v>1E</v>
      </c>
      <c r="AO24">
        <f>INDEX(AM24:AM27,MATCH(N24,AG24:AG27,0),)</f>
        <v>2</v>
      </c>
      <c r="AP24" t="str">
        <f>Tippa!A48</f>
        <v>C4</v>
      </c>
      <c r="AQ24" s="3" t="str">
        <f>Tippa!C48</f>
        <v>Argentina - Mexiko</v>
      </c>
      <c r="AR24" s="3" t="str">
        <f t="shared" si="90"/>
        <v>Argentina</v>
      </c>
      <c r="AS24" s="3" t="str">
        <f>INDEX($H$4:$H$51,MATCH(AP24,$K$4:$K$51,0),)</f>
        <v>Mexiko</v>
      </c>
      <c r="AT24" s="76">
        <f>Tippa!G48</f>
        <v>2</v>
      </c>
      <c r="AU24" s="76">
        <f>Tippa!H48</f>
        <v>2</v>
      </c>
      <c r="AV24" s="73">
        <f t="shared" si="92"/>
        <v>1</v>
      </c>
      <c r="AW24" s="73">
        <f t="shared" si="93"/>
        <v>1</v>
      </c>
    </row>
    <row r="25" spans="2:49" x14ac:dyDescent="0.2">
      <c r="B25" s="14" t="s">
        <v>358</v>
      </c>
      <c r="C25" s="15">
        <v>0.83333333333333337</v>
      </c>
      <c r="D25" s="16" t="s">
        <v>66</v>
      </c>
      <c r="E25" s="16" t="str">
        <f t="shared" si="44"/>
        <v>C1</v>
      </c>
      <c r="F25" s="16" t="str">
        <f t="shared" si="45"/>
        <v>C3</v>
      </c>
      <c r="G25" s="16" t="str">
        <f t="shared" si="3"/>
        <v>Argentina</v>
      </c>
      <c r="H25" s="16" t="str">
        <f t="shared" si="2"/>
        <v>Mexiko</v>
      </c>
      <c r="I25" s="16" t="str">
        <f t="shared" si="4"/>
        <v>C</v>
      </c>
      <c r="J25" s="16">
        <f>COUNTIF($I$4:I25,I25)</f>
        <v>4</v>
      </c>
      <c r="K25" s="17" t="str">
        <f t="shared" si="5"/>
        <v>C4</v>
      </c>
      <c r="M25" s="18" t="s">
        <v>123</v>
      </c>
      <c r="N25" s="6" t="s">
        <v>348</v>
      </c>
      <c r="P25" s="33">
        <f t="shared" ref="P25:P27" si="94">SUMIF($AR$37:$AR$42,N25,$AV$37:$AV$42)+SUMIF($AS$37:$AS$42,N25,$AW$37:$AW$42)</f>
        <v>0</v>
      </c>
      <c r="Q25" s="34">
        <f t="shared" ref="Q25:Q27" si="95">SUMIF($AR$37:$AR$42,N25,$AT$37:$AT$42)+SUMIF($AS$37:$AS$42,N25,$AU$37:$AU$42)</f>
        <v>1</v>
      </c>
      <c r="R25" s="34">
        <f t="shared" ref="R25:R27" si="96">-SUMIF($AR$37:$AR$42,N25,$AU$37:$AU$42)-SUMIF($AS$37:$AS$42,N25,$AT$37:$AT$42)</f>
        <v>-9</v>
      </c>
      <c r="S25" s="34">
        <f t="shared" ref="S25:S27" si="97">SUM(Q25:R25)</f>
        <v>-8</v>
      </c>
      <c r="T25" s="34">
        <f t="shared" ref="T25:T27" si="98">RANK(P25,$P$24:$P$27,0)</f>
        <v>4</v>
      </c>
      <c r="U25" s="34">
        <f t="shared" ref="U25:U27" si="99">RANK(S25,$S$24:$S$27,0)</f>
        <v>4</v>
      </c>
      <c r="V25" s="34">
        <f t="shared" ref="V25:V27" si="100">RANK(Q25,$Q$24:$Q$27,0)</f>
        <v>4</v>
      </c>
      <c r="W25" s="65">
        <f>W24+0.001</f>
        <v>2E-3</v>
      </c>
      <c r="X25" s="39">
        <f t="shared" ref="X25:X27" si="101">IF(COUNTIF($T$24:$T$27,T25)&gt;1,U25,0)</f>
        <v>0</v>
      </c>
      <c r="Y25" s="40">
        <f t="shared" ref="Y25:Y27" si="102">IF(X25=MAX($X$24:$X$27),0.2,0)</f>
        <v>0.2</v>
      </c>
      <c r="Z25" s="50">
        <f t="shared" ref="Z25:Z27" si="103">Y25+T25</f>
        <v>4.2</v>
      </c>
      <c r="AA25" s="47">
        <f t="shared" ref="AA25:AA27" si="104">IF(COUNTIF($Z$24:$Z$27,Z25)&gt;1,V25,0)</f>
        <v>0</v>
      </c>
      <c r="AB25" s="44">
        <f t="shared" ref="AB25:AB27" si="105">IF(AA25=MAX($AA$24:$AA$27),0.1,0)</f>
        <v>0.1</v>
      </c>
      <c r="AC25" s="71">
        <f t="shared" ref="AC25:AC27" si="106">Z25+AB25+W25</f>
        <v>4.3019999999999996</v>
      </c>
      <c r="AD25" s="68">
        <f t="shared" ref="AD25:AD27" si="107">_xlfn.RANK.EQ(AC25,$AC$24:$AC$27,1)</f>
        <v>4</v>
      </c>
      <c r="AF25" s="55">
        <v>2</v>
      </c>
      <c r="AG25" s="56" t="str">
        <f t="shared" ref="AG25:AG27" si="108">INDEX($N$24:$N$27,MATCH($AF25,$AD$24:$AD$27,0),)</f>
        <v>Spanien</v>
      </c>
      <c r="AH25" s="56">
        <f t="shared" ref="AH25:AH27" si="109">INDEX($P$24:$P$27,MATCH($AF25,$AD$24:$AD$27,0),)</f>
        <v>5</v>
      </c>
      <c r="AI25" s="62">
        <f t="shared" ref="AI25:AI27" si="110">INDEX($S$24:$S$27,MATCH($AF25,$AD$24:$AD$27,0),)</f>
        <v>2</v>
      </c>
      <c r="AJ25" s="57">
        <f t="shared" ref="AJ25:AJ27" si="111">INDEX($Q$24:$Q$27,MATCH($AF25,$AD$24:$AD$27,0),)</f>
        <v>6</v>
      </c>
      <c r="AL25">
        <f>COUNTIF(Tippa!$J$67:$J$70,Beräkningar!AF25)</f>
        <v>1</v>
      </c>
      <c r="AM25">
        <f>Tippa!J68</f>
        <v>2</v>
      </c>
      <c r="AN25" t="str">
        <f t="shared" ref="AN25:AN27" si="112">AM25&amp;"E"</f>
        <v>2E</v>
      </c>
      <c r="AO25">
        <f>INDEX(AM24:AM27,MATCH(N25,AG24:AG27,0),)</f>
        <v>4</v>
      </c>
      <c r="AP25" t="str">
        <f>Tippa!A49</f>
        <v>C5</v>
      </c>
      <c r="AQ25" s="3" t="str">
        <f>Tippa!C49</f>
        <v>Saudiarabien - Mexiko</v>
      </c>
      <c r="AR25" s="3" t="str">
        <f t="shared" si="90"/>
        <v>Saudiarabien</v>
      </c>
      <c r="AS25" s="3" t="str">
        <f t="shared" ref="AS25:AS26" si="113">INDEX($H$4:$H$51,MATCH(AP25,$K$4:$K$51,0),)</f>
        <v>Mexiko</v>
      </c>
      <c r="AT25" s="76">
        <f>Tippa!G49</f>
        <v>0</v>
      </c>
      <c r="AU25" s="76">
        <f>Tippa!H49</f>
        <v>2</v>
      </c>
      <c r="AV25" s="73">
        <f t="shared" si="92"/>
        <v>0</v>
      </c>
      <c r="AW25" s="73">
        <f t="shared" si="93"/>
        <v>3</v>
      </c>
    </row>
    <row r="26" spans="2:49" x14ac:dyDescent="0.2">
      <c r="B26" s="19" t="s">
        <v>358</v>
      </c>
      <c r="C26" s="20">
        <v>0.70833333333333337</v>
      </c>
      <c r="D26" s="21" t="s">
        <v>68</v>
      </c>
      <c r="E26" s="21" t="str">
        <f t="shared" si="44"/>
        <v>D1</v>
      </c>
      <c r="F26" s="21" t="str">
        <f t="shared" si="45"/>
        <v>D3</v>
      </c>
      <c r="G26" s="21" t="str">
        <f t="shared" si="3"/>
        <v>Frankrike</v>
      </c>
      <c r="H26" s="21" t="str">
        <f t="shared" si="2"/>
        <v>Danmark</v>
      </c>
      <c r="I26" s="21" t="str">
        <f t="shared" si="4"/>
        <v>D</v>
      </c>
      <c r="J26" s="21">
        <f>COUNTIF($I$4:I26,I26)</f>
        <v>3</v>
      </c>
      <c r="K26" s="22" t="str">
        <f t="shared" si="5"/>
        <v>D3</v>
      </c>
      <c r="M26" s="18" t="s">
        <v>124</v>
      </c>
      <c r="N26" s="6" t="s">
        <v>25</v>
      </c>
      <c r="P26" s="33">
        <f t="shared" si="94"/>
        <v>7</v>
      </c>
      <c r="Q26" s="34">
        <f t="shared" si="95"/>
        <v>10</v>
      </c>
      <c r="R26" s="34">
        <f t="shared" si="96"/>
        <v>-3</v>
      </c>
      <c r="S26" s="34">
        <f t="shared" si="97"/>
        <v>7</v>
      </c>
      <c r="T26" s="34">
        <f t="shared" si="98"/>
        <v>1</v>
      </c>
      <c r="U26" s="34">
        <f t="shared" si="99"/>
        <v>1</v>
      </c>
      <c r="V26" s="34">
        <f t="shared" si="100"/>
        <v>1</v>
      </c>
      <c r="W26" s="65">
        <f t="shared" ref="W26:W27" si="114">W25+0.001</f>
        <v>3.0000000000000001E-3</v>
      </c>
      <c r="X26" s="39">
        <f t="shared" si="101"/>
        <v>0</v>
      </c>
      <c r="Y26" s="40">
        <f t="shared" si="102"/>
        <v>0.2</v>
      </c>
      <c r="Z26" s="50">
        <f t="shared" si="103"/>
        <v>1.2</v>
      </c>
      <c r="AA26" s="47">
        <f t="shared" si="104"/>
        <v>0</v>
      </c>
      <c r="AB26" s="44">
        <f t="shared" si="105"/>
        <v>0.1</v>
      </c>
      <c r="AC26" s="71">
        <f t="shared" si="106"/>
        <v>1.3029999999999999</v>
      </c>
      <c r="AD26" s="68">
        <f t="shared" si="107"/>
        <v>1</v>
      </c>
      <c r="AF26" s="55">
        <v>3</v>
      </c>
      <c r="AG26" s="56" t="str">
        <f t="shared" si="108"/>
        <v>Japan</v>
      </c>
      <c r="AH26" s="56">
        <f t="shared" si="109"/>
        <v>4</v>
      </c>
      <c r="AI26" s="62">
        <f t="shared" si="110"/>
        <v>-1</v>
      </c>
      <c r="AJ26" s="57">
        <f t="shared" si="111"/>
        <v>3</v>
      </c>
      <c r="AL26">
        <f>COUNTIF(Tippa!$J$67:$J$70,Beräkningar!AF26)</f>
        <v>1</v>
      </c>
      <c r="AM26">
        <f>Tippa!J69</f>
        <v>3</v>
      </c>
      <c r="AN26" t="str">
        <f t="shared" si="112"/>
        <v>3E</v>
      </c>
      <c r="AO26">
        <f>INDEX(AM24:AM27,MATCH(N26,AG24:AG27,0),)</f>
        <v>1</v>
      </c>
      <c r="AP26" t="str">
        <f>Tippa!A50</f>
        <v>C6</v>
      </c>
      <c r="AQ26" s="4" t="str">
        <f>Tippa!C50</f>
        <v>Polen - Argentina</v>
      </c>
      <c r="AR26" s="4" t="str">
        <f t="shared" si="90"/>
        <v>Polen</v>
      </c>
      <c r="AS26" s="4" t="str">
        <f t="shared" si="113"/>
        <v>Argentina</v>
      </c>
      <c r="AT26" s="76">
        <f>Tippa!G50</f>
        <v>1</v>
      </c>
      <c r="AU26" s="76">
        <f>Tippa!H50</f>
        <v>2</v>
      </c>
      <c r="AV26" s="73">
        <f t="shared" si="92"/>
        <v>0</v>
      </c>
      <c r="AW26" s="73">
        <f t="shared" si="93"/>
        <v>3</v>
      </c>
    </row>
    <row r="27" spans="2:49" x14ac:dyDescent="0.2">
      <c r="B27" s="14" t="s">
        <v>358</v>
      </c>
      <c r="C27" s="15">
        <v>0.45833333333333331</v>
      </c>
      <c r="D27" s="16" t="s">
        <v>70</v>
      </c>
      <c r="E27" s="16" t="str">
        <f t="shared" si="44"/>
        <v>D4</v>
      </c>
      <c r="F27" s="16" t="str">
        <f t="shared" si="45"/>
        <v>D2</v>
      </c>
      <c r="G27" s="16" t="str">
        <f t="shared" si="3"/>
        <v>Tunisien</v>
      </c>
      <c r="H27" s="16" t="str">
        <f t="shared" si="2"/>
        <v>Australien</v>
      </c>
      <c r="I27" s="16" t="str">
        <f t="shared" si="4"/>
        <v>D</v>
      </c>
      <c r="J27" s="16">
        <f>COUNTIF($I$4:I27,I27)</f>
        <v>4</v>
      </c>
      <c r="K27" s="17" t="str">
        <f t="shared" si="5"/>
        <v>D4</v>
      </c>
      <c r="M27" s="23" t="s">
        <v>125</v>
      </c>
      <c r="N27" s="7" t="s">
        <v>175</v>
      </c>
      <c r="P27" s="35">
        <f t="shared" si="94"/>
        <v>4</v>
      </c>
      <c r="Q27" s="36">
        <f t="shared" si="95"/>
        <v>3</v>
      </c>
      <c r="R27" s="36">
        <f t="shared" si="96"/>
        <v>-4</v>
      </c>
      <c r="S27" s="36">
        <f t="shared" si="97"/>
        <v>-1</v>
      </c>
      <c r="T27" s="36">
        <f t="shared" si="98"/>
        <v>3</v>
      </c>
      <c r="U27" s="36">
        <f t="shared" si="99"/>
        <v>3</v>
      </c>
      <c r="V27" s="36">
        <f t="shared" si="100"/>
        <v>3</v>
      </c>
      <c r="W27" s="66">
        <f t="shared" si="114"/>
        <v>4.0000000000000001E-3</v>
      </c>
      <c r="X27" s="41">
        <f t="shared" si="101"/>
        <v>0</v>
      </c>
      <c r="Y27" s="42">
        <f t="shared" si="102"/>
        <v>0.2</v>
      </c>
      <c r="Z27" s="51">
        <f t="shared" si="103"/>
        <v>3.2</v>
      </c>
      <c r="AA27" s="48">
        <f t="shared" si="104"/>
        <v>0</v>
      </c>
      <c r="AB27" s="45">
        <f t="shared" si="105"/>
        <v>0.1</v>
      </c>
      <c r="AC27" s="72">
        <f t="shared" si="106"/>
        <v>3.3040000000000003</v>
      </c>
      <c r="AD27" s="69">
        <f t="shared" si="107"/>
        <v>3</v>
      </c>
      <c r="AF27" s="58">
        <v>4</v>
      </c>
      <c r="AG27" s="59" t="str">
        <f t="shared" si="108"/>
        <v>Costa Rica</v>
      </c>
      <c r="AH27" s="59">
        <f t="shared" si="109"/>
        <v>0</v>
      </c>
      <c r="AI27" s="63">
        <f t="shared" si="110"/>
        <v>-8</v>
      </c>
      <c r="AJ27" s="60">
        <f t="shared" si="111"/>
        <v>1</v>
      </c>
      <c r="AL27">
        <f>COUNTIF(Tippa!$J$67:$J$70,Beräkningar!AF27)</f>
        <v>1</v>
      </c>
      <c r="AM27">
        <f>Tippa!J70</f>
        <v>4</v>
      </c>
      <c r="AN27" t="str">
        <f t="shared" si="112"/>
        <v>4E</v>
      </c>
      <c r="AO27">
        <f>INDEX(AM24:AM27,MATCH(N27,AG24:AG27,0),)</f>
        <v>3</v>
      </c>
      <c r="AV27" s="74"/>
      <c r="AW27" s="74"/>
    </row>
    <row r="28" spans="2:49" x14ac:dyDescent="0.2">
      <c r="B28" s="19" t="s">
        <v>359</v>
      </c>
      <c r="C28" s="20">
        <v>0.45833333333333331</v>
      </c>
      <c r="D28" s="21" t="s">
        <v>71</v>
      </c>
      <c r="E28" s="21" t="str">
        <f t="shared" si="44"/>
        <v>E4</v>
      </c>
      <c r="F28" s="21" t="str">
        <f t="shared" si="45"/>
        <v>E2</v>
      </c>
      <c r="G28" s="21" t="str">
        <f t="shared" si="3"/>
        <v>Japan</v>
      </c>
      <c r="H28" s="21" t="str">
        <f t="shared" si="2"/>
        <v>Costa Rica</v>
      </c>
      <c r="I28" s="21" t="str">
        <f t="shared" si="4"/>
        <v>E</v>
      </c>
      <c r="J28" s="21">
        <f>COUNTIF($I$4:I28,I28)</f>
        <v>3</v>
      </c>
      <c r="K28" s="22" t="str">
        <f t="shared" si="5"/>
        <v>E3</v>
      </c>
      <c r="AQ28" s="1" t="s">
        <v>9</v>
      </c>
      <c r="AR28" s="28"/>
      <c r="AS28" s="28"/>
      <c r="AT28" s="8" t="s">
        <v>3</v>
      </c>
      <c r="AV28" s="75" t="s">
        <v>181</v>
      </c>
      <c r="AW28" s="74"/>
    </row>
    <row r="29" spans="2:49" x14ac:dyDescent="0.2">
      <c r="B29" s="14" t="s">
        <v>359</v>
      </c>
      <c r="C29" s="15">
        <v>0.83333333333333337</v>
      </c>
      <c r="D29" s="16" t="s">
        <v>69</v>
      </c>
      <c r="E29" s="16" t="str">
        <f t="shared" si="44"/>
        <v>E1</v>
      </c>
      <c r="F29" s="16" t="str">
        <f t="shared" si="45"/>
        <v>E3</v>
      </c>
      <c r="G29" s="16" t="str">
        <f t="shared" si="3"/>
        <v>Spanien</v>
      </c>
      <c r="H29" s="16" t="str">
        <f t="shared" si="2"/>
        <v>Tyskland</v>
      </c>
      <c r="I29" s="16" t="str">
        <f t="shared" si="4"/>
        <v>E</v>
      </c>
      <c r="J29" s="16">
        <f>COUNTIF($I$4:I29,I29)</f>
        <v>4</v>
      </c>
      <c r="K29" s="17" t="str">
        <f t="shared" si="5"/>
        <v>E4</v>
      </c>
      <c r="M29" s="13" t="s">
        <v>126</v>
      </c>
      <c r="N29" s="5" t="s">
        <v>27</v>
      </c>
      <c r="P29" s="31">
        <f>SUMIF($AR$45:$AR$50,N29,$AV$45:$AV$50)+SUMIF($AS$45:$AS$50,N29,$AW$45:$AW$50)</f>
        <v>9</v>
      </c>
      <c r="Q29" s="32">
        <f>SUMIF($AR$45:$AR$50,N29,$AT$45:$AT$50)+SUMIF($AS$45:$AS$50,N29,$AU$45:$AU$50)</f>
        <v>7</v>
      </c>
      <c r="R29" s="32">
        <f>-SUMIF($AR$45:$AR$50,N29,$AU$45:$AU$50)-SUMIF($AS$45:$AS$50,N29,$AT$45:$AT$50)</f>
        <v>-1</v>
      </c>
      <c r="S29" s="32">
        <f>SUM(Q29:R29)</f>
        <v>6</v>
      </c>
      <c r="T29" s="32">
        <f>RANK(P29,$P$29:$P$32,0)</f>
        <v>1</v>
      </c>
      <c r="U29" s="32">
        <f>RANK(S29,$S$29:$S$32,0)</f>
        <v>1</v>
      </c>
      <c r="V29" s="32">
        <f>RANK(Q29,$Q$29:$Q$32,0)</f>
        <v>1</v>
      </c>
      <c r="W29" s="64">
        <v>1E-3</v>
      </c>
      <c r="X29" s="37">
        <f>IF(COUNTIF($T$29:$T$32,T29)&gt;1,U29,0)</f>
        <v>0</v>
      </c>
      <c r="Y29" s="38">
        <f>IF(X29=MAX($X$29:$X$32),0.2,0)</f>
        <v>0.2</v>
      </c>
      <c r="Z29" s="49">
        <f>Y29+T29</f>
        <v>1.2</v>
      </c>
      <c r="AA29" s="46">
        <f>IF(COUNTIF($Z$29:$Z$32,Z29)&gt;1,V29,0)</f>
        <v>0</v>
      </c>
      <c r="AB29" s="43">
        <f>IF(AA29=MAX($AA$29:$AA$32),0.1,0)</f>
        <v>0.1</v>
      </c>
      <c r="AC29" s="70">
        <f>Z29+AB29+W29</f>
        <v>1.3009999999999999</v>
      </c>
      <c r="AD29" s="67">
        <f>_xlfn.RANK.EQ(AC29,$AC$29:$AC$32,1)</f>
        <v>1</v>
      </c>
      <c r="AF29" s="52">
        <v>1</v>
      </c>
      <c r="AG29" s="53" t="str">
        <f>INDEX($N$29:$N$32,MATCH($AF29,$AD$29:$AD$32,0),)</f>
        <v>Belgien</v>
      </c>
      <c r="AH29" s="53">
        <f>INDEX($P$29:$P$32,MATCH($AF29,$AD$29:$AD$32,0),)</f>
        <v>9</v>
      </c>
      <c r="AI29" s="61">
        <f>INDEX($S$29:$S$32,MATCH($AF29,$AD$29:$AD$32,0),)</f>
        <v>6</v>
      </c>
      <c r="AJ29" s="54">
        <f>INDEX($Q$29:$Q$32,MATCH($AF29,$AD$29:$AD$32,0),)</f>
        <v>7</v>
      </c>
      <c r="AL29">
        <f>COUNTIF(Tippa!$J$78:$J$81,Beräkningar!AF29)</f>
        <v>1</v>
      </c>
      <c r="AM29">
        <f>Tippa!J78</f>
        <v>1</v>
      </c>
      <c r="AN29" t="str">
        <f>AM29&amp;"F"</f>
        <v>1F</v>
      </c>
      <c r="AO29">
        <f>INDEX(AM29:AM32,MATCH(N29,AG29:AG32,0),)</f>
        <v>1</v>
      </c>
      <c r="AP29" t="str">
        <f>Tippa!A56</f>
        <v>D1</v>
      </c>
      <c r="AQ29" s="2" t="str">
        <f>Tippa!C56</f>
        <v>Frankrike - Australien</v>
      </c>
      <c r="AR29" s="2" t="str">
        <f>INDEX($G$4:$G$51,MATCH(AP29,$K$4:$K$51,0),)</f>
        <v>Frankrike</v>
      </c>
      <c r="AS29" s="2" t="str">
        <f>INDEX($H$4:$H$51,MATCH(AP29,$K$4:$K$51,0),)</f>
        <v>Australien</v>
      </c>
      <c r="AT29" s="76">
        <f>Tippa!G56</f>
        <v>4</v>
      </c>
      <c r="AU29" s="76">
        <f>Tippa!H56</f>
        <v>0</v>
      </c>
      <c r="AV29" s="73">
        <f>IF(AT29="-",0,IF(AT29&gt;AU29,3,IF(AT29=AU29,1,0)))</f>
        <v>3</v>
      </c>
      <c r="AW29" s="73">
        <f>IF(AT29="-",0,IF(AU29&gt;AT29,3,IF(AU29=AT29,1,0)))</f>
        <v>0</v>
      </c>
    </row>
    <row r="30" spans="2:49" x14ac:dyDescent="0.2">
      <c r="B30" s="19" t="s">
        <v>359</v>
      </c>
      <c r="C30" s="20">
        <v>0.58333333333333337</v>
      </c>
      <c r="D30" s="21" t="s">
        <v>73</v>
      </c>
      <c r="E30" s="21" t="str">
        <f t="shared" si="44"/>
        <v>F1</v>
      </c>
      <c r="F30" s="21" t="str">
        <f t="shared" si="45"/>
        <v>F3</v>
      </c>
      <c r="G30" s="21" t="str">
        <f t="shared" si="3"/>
        <v>Belgien</v>
      </c>
      <c r="H30" s="21" t="str">
        <f t="shared" si="2"/>
        <v>Marocko</v>
      </c>
      <c r="I30" s="21" t="str">
        <f t="shared" si="4"/>
        <v>F</v>
      </c>
      <c r="J30" s="21">
        <f>COUNTIF($I$4:I30,I30)</f>
        <v>3</v>
      </c>
      <c r="K30" s="22" t="str">
        <f t="shared" si="5"/>
        <v>F3</v>
      </c>
      <c r="M30" s="18" t="s">
        <v>127</v>
      </c>
      <c r="N30" s="6" t="s">
        <v>349</v>
      </c>
      <c r="P30" s="33">
        <f t="shared" ref="P30:P32" si="115">SUMIF($AR$45:$AR$50,N30,$AV$45:$AV$50)+SUMIF($AS$45:$AS$50,N30,$AW$45:$AW$50)</f>
        <v>0</v>
      </c>
      <c r="Q30" s="34">
        <f t="shared" ref="Q30:Q32" si="116">SUMIF($AR$45:$AR$50,N30,$AT$45:$AT$50)+SUMIF($AS$45:$AS$50,N30,$AU$45:$AU$50)</f>
        <v>0</v>
      </c>
      <c r="R30" s="34">
        <f t="shared" ref="R30:R32" si="117">-SUMIF($AR$45:$AR$50,N30,$AU$45:$AU$50)-SUMIF($AS$45:$AS$50,N30,$AT$45:$AT$50)</f>
        <v>-7</v>
      </c>
      <c r="S30" s="34">
        <f t="shared" ref="S30:S32" si="118">SUM(Q30:R30)</f>
        <v>-7</v>
      </c>
      <c r="T30" s="34">
        <f t="shared" ref="T30:T32" si="119">RANK(P30,$P$29:$P$32,0)</f>
        <v>4</v>
      </c>
      <c r="U30" s="34">
        <f t="shared" ref="U30:U32" si="120">RANK(S30,$S$29:$S$32,0)</f>
        <v>4</v>
      </c>
      <c r="V30" s="34">
        <f t="shared" ref="V30:V32" si="121">RANK(Q30,$Q$29:$Q$32,0)</f>
        <v>4</v>
      </c>
      <c r="W30" s="65">
        <f>W29+0.001</f>
        <v>2E-3</v>
      </c>
      <c r="X30" s="39">
        <f t="shared" ref="X30:X32" si="122">IF(COUNTIF($T$29:$T$32,T30)&gt;1,U30,0)</f>
        <v>0</v>
      </c>
      <c r="Y30" s="40">
        <f t="shared" ref="Y30:Y32" si="123">IF(X30=MAX($X$29:$X$32),0.2,0)</f>
        <v>0.2</v>
      </c>
      <c r="Z30" s="50">
        <f t="shared" ref="Z30:Z32" si="124">Y30+T30</f>
        <v>4.2</v>
      </c>
      <c r="AA30" s="47">
        <f t="shared" ref="AA30:AA32" si="125">IF(COUNTIF($Z$29:$Z$32,Z30)&gt;1,V30,0)</f>
        <v>0</v>
      </c>
      <c r="AB30" s="44">
        <f t="shared" ref="AB30:AB32" si="126">IF(AA30=MAX($AA$29:$AA$32),0.1,0)</f>
        <v>0.1</v>
      </c>
      <c r="AC30" s="71">
        <f t="shared" ref="AC30:AC32" si="127">Z30+AB30+W30</f>
        <v>4.3019999999999996</v>
      </c>
      <c r="AD30" s="68">
        <f t="shared" ref="AD30:AD32" si="128">_xlfn.RANK.EQ(AC30,$AC$29:$AC$32,1)</f>
        <v>4</v>
      </c>
      <c r="AF30" s="55">
        <v>2</v>
      </c>
      <c r="AG30" s="56" t="str">
        <f t="shared" ref="AG30:AG32" si="129">INDEX($N$29:$N$32,MATCH($AF30,$AD$29:$AD$32,0),)</f>
        <v>Kroatien</v>
      </c>
      <c r="AH30" s="56">
        <f t="shared" ref="AH30:AH32" si="130">INDEX($P$29:$P$32,MATCH($AF30,$AD$29:$AD$32,0),)</f>
        <v>6</v>
      </c>
      <c r="AI30" s="62">
        <f t="shared" ref="AI30:AI32" si="131">INDEX($S$29:$S$32,MATCH($AF30,$AD$29:$AD$32,0),)</f>
        <v>4</v>
      </c>
      <c r="AJ30" s="57">
        <f t="shared" ref="AJ30:AJ32" si="132">INDEX($Q$29:$Q$32,MATCH($AF30,$AD$29:$AD$32,0),)</f>
        <v>6</v>
      </c>
      <c r="AL30">
        <f>COUNTIF(Tippa!$J$78:$J$81,Beräkningar!AF30)</f>
        <v>1</v>
      </c>
      <c r="AM30">
        <f>Tippa!J79</f>
        <v>2</v>
      </c>
      <c r="AN30" t="str">
        <f t="shared" ref="AN30:AN32" si="133">AM30&amp;"F"</f>
        <v>2F</v>
      </c>
      <c r="AO30">
        <f>INDEX(AM29:AM32,MATCH(N30,AG29:AG32,0),)</f>
        <v>4</v>
      </c>
      <c r="AP30" t="str">
        <f>Tippa!A57</f>
        <v>D2</v>
      </c>
      <c r="AQ30" s="3" t="str">
        <f>Tippa!C57</f>
        <v>Danmark - Tunisien</v>
      </c>
      <c r="AR30" s="3" t="str">
        <f t="shared" ref="AR30:AR34" si="134">INDEX($G$4:$G$51,MATCH(AP30,$K$4:$K$51,0),)</f>
        <v>Danmark</v>
      </c>
      <c r="AS30" s="3" t="str">
        <f t="shared" ref="AS30:AS31" si="135">INDEX($H$4:$H$51,MATCH(AP30,$K$4:$K$51,0),)</f>
        <v>Tunisien</v>
      </c>
      <c r="AT30" s="76">
        <f>Tippa!G57</f>
        <v>2</v>
      </c>
      <c r="AU30" s="76">
        <f>Tippa!H57</f>
        <v>1</v>
      </c>
      <c r="AV30" s="73">
        <f t="shared" ref="AV30:AV34" si="136">IF(AT30="-",0,IF(AT30&gt;AU30,3,IF(AT30=AU30,1,0)))</f>
        <v>3</v>
      </c>
      <c r="AW30" s="73">
        <f t="shared" ref="AW30:AW34" si="137">IF(AT30="-",0,IF(AU30&gt;AT30,3,IF(AU30=AT30,1,0)))</f>
        <v>0</v>
      </c>
    </row>
    <row r="31" spans="2:49" x14ac:dyDescent="0.2">
      <c r="B31" s="14" t="s">
        <v>359</v>
      </c>
      <c r="C31" s="15">
        <v>0.70833333333333337</v>
      </c>
      <c r="D31" s="16" t="s">
        <v>74</v>
      </c>
      <c r="E31" s="16" t="str">
        <f t="shared" si="44"/>
        <v>F4</v>
      </c>
      <c r="F31" s="16" t="str">
        <f t="shared" si="45"/>
        <v>F2</v>
      </c>
      <c r="G31" s="16" t="str">
        <f t="shared" si="3"/>
        <v>Kroatien</v>
      </c>
      <c r="H31" s="16" t="str">
        <f t="shared" si="2"/>
        <v>Kanada</v>
      </c>
      <c r="I31" s="16" t="str">
        <f t="shared" si="4"/>
        <v>F</v>
      </c>
      <c r="J31" s="16">
        <f>COUNTIF($I$4:I31,I31)</f>
        <v>4</v>
      </c>
      <c r="K31" s="17" t="str">
        <f t="shared" si="5"/>
        <v>F4</v>
      </c>
      <c r="M31" s="18" t="s">
        <v>128</v>
      </c>
      <c r="N31" s="6" t="s">
        <v>203</v>
      </c>
      <c r="P31" s="33">
        <f t="shared" si="115"/>
        <v>3</v>
      </c>
      <c r="Q31" s="34">
        <f t="shared" si="116"/>
        <v>1</v>
      </c>
      <c r="R31" s="34">
        <f t="shared" si="117"/>
        <v>-4</v>
      </c>
      <c r="S31" s="34">
        <f t="shared" si="118"/>
        <v>-3</v>
      </c>
      <c r="T31" s="34">
        <f t="shared" si="119"/>
        <v>3</v>
      </c>
      <c r="U31" s="34">
        <f t="shared" si="120"/>
        <v>3</v>
      </c>
      <c r="V31" s="34">
        <f t="shared" si="121"/>
        <v>3</v>
      </c>
      <c r="W31" s="65">
        <f t="shared" ref="W31:W32" si="138">W30+0.001</f>
        <v>3.0000000000000001E-3</v>
      </c>
      <c r="X31" s="39">
        <f t="shared" si="122"/>
        <v>0</v>
      </c>
      <c r="Y31" s="40">
        <f t="shared" si="123"/>
        <v>0.2</v>
      </c>
      <c r="Z31" s="50">
        <f t="shared" si="124"/>
        <v>3.2</v>
      </c>
      <c r="AA31" s="47">
        <f t="shared" si="125"/>
        <v>0</v>
      </c>
      <c r="AB31" s="44">
        <f t="shared" si="126"/>
        <v>0.1</v>
      </c>
      <c r="AC31" s="71">
        <f t="shared" si="127"/>
        <v>3.3030000000000004</v>
      </c>
      <c r="AD31" s="68">
        <f t="shared" si="128"/>
        <v>3</v>
      </c>
      <c r="AF31" s="55">
        <v>3</v>
      </c>
      <c r="AG31" s="56" t="str">
        <f t="shared" si="129"/>
        <v>Marocko</v>
      </c>
      <c r="AH31" s="56">
        <f t="shared" si="130"/>
        <v>3</v>
      </c>
      <c r="AI31" s="62">
        <f t="shared" si="131"/>
        <v>-3</v>
      </c>
      <c r="AJ31" s="57">
        <f t="shared" si="132"/>
        <v>1</v>
      </c>
      <c r="AL31">
        <f>COUNTIF(Tippa!$J$78:$J$81,Beräkningar!AF31)</f>
        <v>1</v>
      </c>
      <c r="AM31">
        <f>Tippa!J80</f>
        <v>3</v>
      </c>
      <c r="AN31" t="str">
        <f t="shared" si="133"/>
        <v>3F</v>
      </c>
      <c r="AO31">
        <f>INDEX(AM29:AM32,MATCH(N31,AG29:AG32,0),)</f>
        <v>3</v>
      </c>
      <c r="AP31" t="str">
        <f>Tippa!A58</f>
        <v>D3</v>
      </c>
      <c r="AQ31" s="3" t="str">
        <f>Tippa!C58</f>
        <v>Frankrike - Danmark</v>
      </c>
      <c r="AR31" s="3" t="str">
        <f t="shared" si="134"/>
        <v>Frankrike</v>
      </c>
      <c r="AS31" s="3" t="str">
        <f t="shared" si="135"/>
        <v>Danmark</v>
      </c>
      <c r="AT31" s="76">
        <f>Tippa!G58</f>
        <v>1</v>
      </c>
      <c r="AU31" s="76">
        <f>Tippa!H58</f>
        <v>0</v>
      </c>
      <c r="AV31" s="73">
        <f t="shared" si="136"/>
        <v>3</v>
      </c>
      <c r="AW31" s="73">
        <f t="shared" si="137"/>
        <v>0</v>
      </c>
    </row>
    <row r="32" spans="2:49" x14ac:dyDescent="0.2">
      <c r="B32" s="19" t="s">
        <v>362</v>
      </c>
      <c r="C32" s="20">
        <v>0.45833333333333331</v>
      </c>
      <c r="D32" s="21" t="s">
        <v>75</v>
      </c>
      <c r="E32" s="21" t="str">
        <f t="shared" si="44"/>
        <v>G4</v>
      </c>
      <c r="F32" s="21" t="str">
        <f t="shared" si="45"/>
        <v>G2</v>
      </c>
      <c r="G32" s="21" t="str">
        <f t="shared" si="3"/>
        <v>Kamerun</v>
      </c>
      <c r="H32" s="21" t="str">
        <f t="shared" si="2"/>
        <v>Serbien</v>
      </c>
      <c r="I32" s="21" t="str">
        <f t="shared" si="4"/>
        <v>G</v>
      </c>
      <c r="J32" s="21">
        <f>COUNTIF($I$4:I32,I32)</f>
        <v>3</v>
      </c>
      <c r="K32" s="22" t="str">
        <f t="shared" si="5"/>
        <v>G3</v>
      </c>
      <c r="M32" s="23" t="s">
        <v>129</v>
      </c>
      <c r="N32" s="7" t="s">
        <v>20</v>
      </c>
      <c r="P32" s="35">
        <f t="shared" si="115"/>
        <v>6</v>
      </c>
      <c r="Q32" s="36">
        <f t="shared" si="116"/>
        <v>6</v>
      </c>
      <c r="R32" s="36">
        <f t="shared" si="117"/>
        <v>-2</v>
      </c>
      <c r="S32" s="36">
        <f t="shared" si="118"/>
        <v>4</v>
      </c>
      <c r="T32" s="36">
        <f t="shared" si="119"/>
        <v>2</v>
      </c>
      <c r="U32" s="36">
        <f t="shared" si="120"/>
        <v>2</v>
      </c>
      <c r="V32" s="36">
        <f t="shared" si="121"/>
        <v>2</v>
      </c>
      <c r="W32" s="66">
        <f t="shared" si="138"/>
        <v>4.0000000000000001E-3</v>
      </c>
      <c r="X32" s="41">
        <f t="shared" si="122"/>
        <v>0</v>
      </c>
      <c r="Y32" s="42">
        <f t="shared" si="123"/>
        <v>0.2</v>
      </c>
      <c r="Z32" s="51">
        <f t="shared" si="124"/>
        <v>2.2000000000000002</v>
      </c>
      <c r="AA32" s="48">
        <f t="shared" si="125"/>
        <v>0</v>
      </c>
      <c r="AB32" s="45">
        <f t="shared" si="126"/>
        <v>0.1</v>
      </c>
      <c r="AC32" s="72">
        <f t="shared" si="127"/>
        <v>2.3040000000000003</v>
      </c>
      <c r="AD32" s="69">
        <f t="shared" si="128"/>
        <v>2</v>
      </c>
      <c r="AF32" s="58">
        <v>4</v>
      </c>
      <c r="AG32" s="59" t="str">
        <f t="shared" si="129"/>
        <v>Kanada</v>
      </c>
      <c r="AH32" s="59">
        <f t="shared" si="130"/>
        <v>0</v>
      </c>
      <c r="AI32" s="63">
        <f t="shared" si="131"/>
        <v>-7</v>
      </c>
      <c r="AJ32" s="60">
        <f t="shared" si="132"/>
        <v>0</v>
      </c>
      <c r="AL32">
        <f>COUNTIF(Tippa!$J$78:$J$81,Beräkningar!AF32)</f>
        <v>1</v>
      </c>
      <c r="AM32">
        <f>Tippa!J81</f>
        <v>4</v>
      </c>
      <c r="AN32" t="str">
        <f t="shared" si="133"/>
        <v>4F</v>
      </c>
      <c r="AO32">
        <f>INDEX(AM29:AM32,MATCH(N32,AG29:AG32,0),)</f>
        <v>2</v>
      </c>
      <c r="AP32" t="str">
        <f>Tippa!A59</f>
        <v>D4</v>
      </c>
      <c r="AQ32" s="3" t="str">
        <f>Tippa!C59</f>
        <v>Tunisien - Australien</v>
      </c>
      <c r="AR32" s="3" t="str">
        <f t="shared" si="134"/>
        <v>Tunisien</v>
      </c>
      <c r="AS32" s="3" t="str">
        <f>INDEX($H$4:$H$51,MATCH(AP32,$K$4:$K$51,0),)</f>
        <v>Australien</v>
      </c>
      <c r="AT32" s="76">
        <f>Tippa!G59</f>
        <v>1</v>
      </c>
      <c r="AU32" s="76">
        <f>Tippa!H59</f>
        <v>1</v>
      </c>
      <c r="AV32" s="73">
        <f t="shared" si="136"/>
        <v>1</v>
      </c>
      <c r="AW32" s="73">
        <f t="shared" si="137"/>
        <v>1</v>
      </c>
    </row>
    <row r="33" spans="2:49" x14ac:dyDescent="0.2">
      <c r="B33" s="14" t="s">
        <v>362</v>
      </c>
      <c r="C33" s="15">
        <v>0.70833333333333337</v>
      </c>
      <c r="D33" s="16" t="s">
        <v>72</v>
      </c>
      <c r="E33" s="16" t="str">
        <f t="shared" si="44"/>
        <v>G1</v>
      </c>
      <c r="F33" s="16" t="str">
        <f t="shared" si="45"/>
        <v>G3</v>
      </c>
      <c r="G33" s="16" t="str">
        <f t="shared" si="3"/>
        <v>Brasilien</v>
      </c>
      <c r="H33" s="16" t="str">
        <f t="shared" si="2"/>
        <v>Schweiz</v>
      </c>
      <c r="I33" s="16" t="str">
        <f t="shared" si="4"/>
        <v>G</v>
      </c>
      <c r="J33" s="16">
        <f>COUNTIF($I$4:I33,I33)</f>
        <v>4</v>
      </c>
      <c r="K33" s="17" t="str">
        <f t="shared" si="5"/>
        <v>G4</v>
      </c>
      <c r="AP33" t="str">
        <f>Tippa!A60</f>
        <v>D5</v>
      </c>
      <c r="AQ33" s="3" t="str">
        <f>Tippa!C60</f>
        <v>Australien - Danmark</v>
      </c>
      <c r="AR33" s="3" t="str">
        <f t="shared" si="134"/>
        <v>Australien</v>
      </c>
      <c r="AS33" s="3" t="str">
        <f t="shared" ref="AS33:AS34" si="139">INDEX($H$4:$H$51,MATCH(AP33,$K$4:$K$51,0),)</f>
        <v>Danmark</v>
      </c>
      <c r="AT33" s="76">
        <f>Tippa!G60</f>
        <v>0</v>
      </c>
      <c r="AU33" s="76">
        <f>Tippa!H60</f>
        <v>3</v>
      </c>
      <c r="AV33" s="73">
        <f t="shared" si="136"/>
        <v>0</v>
      </c>
      <c r="AW33" s="73">
        <f t="shared" si="137"/>
        <v>3</v>
      </c>
    </row>
    <row r="34" spans="2:49" x14ac:dyDescent="0.2">
      <c r="B34" s="19" t="s">
        <v>362</v>
      </c>
      <c r="C34" s="20">
        <v>0.83333333333333337</v>
      </c>
      <c r="D34" s="21" t="s">
        <v>360</v>
      </c>
      <c r="E34" s="21" t="str">
        <f t="shared" si="44"/>
        <v>H1</v>
      </c>
      <c r="F34" s="21" t="str">
        <f t="shared" si="45"/>
        <v>H3</v>
      </c>
      <c r="G34" s="21" t="str">
        <f t="shared" si="3"/>
        <v>Portugal</v>
      </c>
      <c r="H34" s="21" t="str">
        <f t="shared" si="2"/>
        <v>Uruguay</v>
      </c>
      <c r="I34" s="21" t="str">
        <f t="shared" si="4"/>
        <v>H</v>
      </c>
      <c r="J34" s="21">
        <f>COUNTIF($I$4:I34,I34)</f>
        <v>3</v>
      </c>
      <c r="K34" s="22" t="str">
        <f t="shared" si="5"/>
        <v>H3</v>
      </c>
      <c r="M34" s="13" t="s">
        <v>130</v>
      </c>
      <c r="N34" s="5" t="s">
        <v>172</v>
      </c>
      <c r="P34" s="31">
        <f>SUMIF($AR$53:$AR$58,N34,$AV$53:$AV$58)+SUMIF($AS$53:$AS$58,N34,$AW$53:$AW$58)</f>
        <v>9</v>
      </c>
      <c r="Q34" s="32">
        <f>SUMIF($AR$53:$AR$58,N34,$AT$53:$AT$58)+SUMIF($AS$53:$AS$58,N34,$AU$53:$AU$58)</f>
        <v>8</v>
      </c>
      <c r="R34" s="32">
        <f>-SUMIF($AR$53:$AR$58,N34,$AU$53:$AU$58)-SUMIF($AS$53:$AS$58,N34,$AT$53:$AT$58)</f>
        <v>-2</v>
      </c>
      <c r="S34" s="32">
        <f>SUM(Q34:R34)</f>
        <v>6</v>
      </c>
      <c r="T34" s="32">
        <f>RANK(P34,$P$34:$P$37,0)</f>
        <v>1</v>
      </c>
      <c r="U34" s="32">
        <f>RANK(S34,$S$34:$S$37,0)</f>
        <v>1</v>
      </c>
      <c r="V34" s="32">
        <f>RANK(Q34,$Q$34:$Q$37,0)</f>
        <v>1</v>
      </c>
      <c r="W34" s="64">
        <v>1E-3</v>
      </c>
      <c r="X34" s="37">
        <f>IF(COUNTIF($T$34:$T$37,T34)&gt;1,U34,0)</f>
        <v>0</v>
      </c>
      <c r="Y34" s="38">
        <f>IF(X34=MAX($X$34:$X$37),0.2,0)</f>
        <v>0.2</v>
      </c>
      <c r="Z34" s="49">
        <f>Y34+T34</f>
        <v>1.2</v>
      </c>
      <c r="AA34" s="46">
        <f>IF(COUNTIF($Z$34:$Z$37,Z34)&gt;1,V34,0)</f>
        <v>0</v>
      </c>
      <c r="AB34" s="43">
        <f>IF(AA34=MAX($AA$34:$AA$37),0.1,0)</f>
        <v>0.1</v>
      </c>
      <c r="AC34" s="70">
        <f>Z34+AB34+W34</f>
        <v>1.3009999999999999</v>
      </c>
      <c r="AD34" s="67">
        <f>_xlfn.RANK.EQ(AC34,$AC$34:$AC$37,1)</f>
        <v>1</v>
      </c>
      <c r="AF34" s="52">
        <v>1</v>
      </c>
      <c r="AG34" s="53" t="str">
        <f>INDEX($N$34:$N$37,MATCH($AF34,$AD$34:$AD$37,0),)</f>
        <v>Brasilien</v>
      </c>
      <c r="AH34" s="53">
        <f>INDEX($P$34:$P$37,MATCH($AF34,$AD$34:$AD$37,0),)</f>
        <v>9</v>
      </c>
      <c r="AI34" s="61">
        <f>INDEX($S$34:$S$37,MATCH($AF34,$AD$34:$AD$37,0),)</f>
        <v>6</v>
      </c>
      <c r="AJ34" s="54">
        <f>INDEX($Q$34:$Q$37,MATCH($AF34,$AD$34:$AD$37,0),)</f>
        <v>8</v>
      </c>
      <c r="AL34">
        <f>COUNTIF(Tippa!$J$89:$J$92,Beräkningar!AF34)</f>
        <v>1</v>
      </c>
      <c r="AM34">
        <f>Tippa!J89</f>
        <v>1</v>
      </c>
      <c r="AN34" t="str">
        <f>AM34&amp;"G"</f>
        <v>1G</v>
      </c>
      <c r="AO34">
        <f>INDEX(AM34:AM37,MATCH(N34,AG34:AG37,0),)</f>
        <v>1</v>
      </c>
      <c r="AP34" t="str">
        <f>Tippa!A61</f>
        <v>D6</v>
      </c>
      <c r="AQ34" s="4" t="str">
        <f>Tippa!C61</f>
        <v>Tunisien - Frankrike</v>
      </c>
      <c r="AR34" s="4" t="str">
        <f t="shared" si="134"/>
        <v>Tunisien</v>
      </c>
      <c r="AS34" s="4" t="str">
        <f t="shared" si="139"/>
        <v>Frankrike</v>
      </c>
      <c r="AT34" s="76">
        <f>Tippa!G61</f>
        <v>0</v>
      </c>
      <c r="AU34" s="76">
        <f>Tippa!H61</f>
        <v>2</v>
      </c>
      <c r="AV34" s="73">
        <f t="shared" si="136"/>
        <v>0</v>
      </c>
      <c r="AW34" s="73">
        <f t="shared" si="137"/>
        <v>3</v>
      </c>
    </row>
    <row r="35" spans="2:49" x14ac:dyDescent="0.2">
      <c r="B35" s="14" t="s">
        <v>362</v>
      </c>
      <c r="C35" s="15">
        <v>0.58333333333333337</v>
      </c>
      <c r="D35" s="16" t="s">
        <v>361</v>
      </c>
      <c r="E35" s="16" t="str">
        <f t="shared" si="44"/>
        <v>H4</v>
      </c>
      <c r="F35" s="16" t="str">
        <f t="shared" si="45"/>
        <v>H2</v>
      </c>
      <c r="G35" s="16" t="str">
        <f t="shared" si="3"/>
        <v>Sydkorea</v>
      </c>
      <c r="H35" s="16" t="str">
        <f t="shared" si="2"/>
        <v>Ghana</v>
      </c>
      <c r="I35" s="16" t="str">
        <f t="shared" si="4"/>
        <v>H</v>
      </c>
      <c r="J35" s="16">
        <f>COUNTIF($I$4:I35,I35)</f>
        <v>4</v>
      </c>
      <c r="K35" s="17" t="str">
        <f t="shared" si="5"/>
        <v>H4</v>
      </c>
      <c r="M35" s="18" t="s">
        <v>131</v>
      </c>
      <c r="N35" s="6" t="s">
        <v>207</v>
      </c>
      <c r="P35" s="33">
        <f t="shared" ref="P35:P37" si="140">SUMIF($AR$53:$AR$58,N35,$AV$53:$AV$58)+SUMIF($AS$53:$AS$58,N35,$AW$53:$AW$58)</f>
        <v>1</v>
      </c>
      <c r="Q35" s="34">
        <f t="shared" ref="Q35:Q37" si="141">SUMIF($AR$53:$AR$58,N35,$AT$53:$AT$58)+SUMIF($AS$53:$AS$58,N35,$AU$53:$AU$58)</f>
        <v>2</v>
      </c>
      <c r="R35" s="34">
        <f t="shared" ref="R35:R37" si="142">-SUMIF($AR$53:$AR$58,N35,$AU$53:$AU$58)-SUMIF($AS$53:$AS$58,N35,$AT$53:$AT$58)</f>
        <v>-4</v>
      </c>
      <c r="S35" s="34">
        <f t="shared" ref="S35:S37" si="143">SUM(Q35:R35)</f>
        <v>-2</v>
      </c>
      <c r="T35" s="34">
        <f t="shared" ref="T35:T37" si="144">RANK(P35,$P$34:$P$37,0)</f>
        <v>4</v>
      </c>
      <c r="U35" s="34">
        <f t="shared" ref="U35:U37" si="145">RANK(S35,$S$34:$S$37,0)</f>
        <v>3</v>
      </c>
      <c r="V35" s="34">
        <f t="shared" ref="V35:V37" si="146">RANK(Q35,$Q$34:$Q$37,0)</f>
        <v>3</v>
      </c>
      <c r="W35" s="65">
        <f>W34+0.001</f>
        <v>2E-3</v>
      </c>
      <c r="X35" s="39">
        <f t="shared" ref="X35:X37" si="147">IF(COUNTIF($T$34:$T$37,T35)&gt;1,U35,0)</f>
        <v>0</v>
      </c>
      <c r="Y35" s="40">
        <f t="shared" ref="Y35:Y37" si="148">IF(X35=MAX($X$34:$X$37),0.2,0)</f>
        <v>0.2</v>
      </c>
      <c r="Z35" s="50">
        <f t="shared" ref="Z35:Z37" si="149">Y35+T35</f>
        <v>4.2</v>
      </c>
      <c r="AA35" s="47">
        <f t="shared" ref="AA35:AA37" si="150">IF(COUNTIF($Z$34:$Z$37,Z35)&gt;1,V35,0)</f>
        <v>0</v>
      </c>
      <c r="AB35" s="44">
        <f t="shared" ref="AB35:AB37" si="151">IF(AA35=MAX($AA$34:$AA$37),0.1,0)</f>
        <v>0.1</v>
      </c>
      <c r="AC35" s="71">
        <f t="shared" ref="AC35:AC37" si="152">Z35+AB35+W35</f>
        <v>4.3019999999999996</v>
      </c>
      <c r="AD35" s="68">
        <f t="shared" ref="AD35:AD37" si="153">_xlfn.RANK.EQ(AC35,$AC$34:$AC$37,1)</f>
        <v>4</v>
      </c>
      <c r="AF35" s="55">
        <v>2</v>
      </c>
      <c r="AG35" s="56" t="str">
        <f t="shared" ref="AG35:AG37" si="154">INDEX($N$34:$N$37,MATCH($AF35,$AD$34:$AD$37,0),)</f>
        <v>Kamerun</v>
      </c>
      <c r="AH35" s="56">
        <f t="shared" ref="AH35:AH37" si="155">INDEX($P$34:$P$37,MATCH($AF35,$AD$34:$AD$37,0),)</f>
        <v>4</v>
      </c>
      <c r="AI35" s="62">
        <f t="shared" ref="AI35:AI37" si="156">INDEX($S$34:$S$37,MATCH($AF35,$AD$34:$AD$37,0),)</f>
        <v>0</v>
      </c>
      <c r="AJ35" s="57">
        <f t="shared" ref="AJ35:AJ37" si="157">INDEX($Q$34:$Q$37,MATCH($AF35,$AD$34:$AD$37,0),)</f>
        <v>3</v>
      </c>
      <c r="AL35">
        <f>COUNTIF(Tippa!$J$89:$J$92,Beräkningar!AF35)</f>
        <v>1</v>
      </c>
      <c r="AM35">
        <f>Tippa!J90</f>
        <v>2</v>
      </c>
      <c r="AN35" t="str">
        <f t="shared" ref="AN35:AN37" si="158">AM35&amp;"G"</f>
        <v>2G</v>
      </c>
      <c r="AO35">
        <f>INDEX(AM34:AM37,MATCH(N35,AG34:AG37,0),)</f>
        <v>4</v>
      </c>
      <c r="AV35" s="74"/>
      <c r="AW35" s="74"/>
    </row>
    <row r="36" spans="2:49" x14ac:dyDescent="0.2">
      <c r="B36" s="19" t="s">
        <v>363</v>
      </c>
      <c r="C36" s="20">
        <v>0.66666666666666663</v>
      </c>
      <c r="D36" s="21" t="s">
        <v>76</v>
      </c>
      <c r="E36" s="21" t="str">
        <f t="shared" si="44"/>
        <v>A2</v>
      </c>
      <c r="F36" s="21" t="str">
        <f t="shared" si="45"/>
        <v>A3</v>
      </c>
      <c r="G36" s="21" t="str">
        <f t="shared" si="3"/>
        <v>Ecuador</v>
      </c>
      <c r="H36" s="21" t="str">
        <f t="shared" si="2"/>
        <v>Senegal</v>
      </c>
      <c r="I36" s="21" t="str">
        <f t="shared" si="4"/>
        <v>A</v>
      </c>
      <c r="J36" s="21">
        <f>COUNTIF($I$4:I36,I36)</f>
        <v>5</v>
      </c>
      <c r="K36" s="22" t="str">
        <f t="shared" si="5"/>
        <v>A5</v>
      </c>
      <c r="M36" s="18" t="s">
        <v>132</v>
      </c>
      <c r="N36" s="6" t="s">
        <v>23</v>
      </c>
      <c r="P36" s="33">
        <f t="shared" si="140"/>
        <v>2</v>
      </c>
      <c r="Q36" s="34">
        <f t="shared" si="141"/>
        <v>2</v>
      </c>
      <c r="R36" s="34">
        <f t="shared" si="142"/>
        <v>-6</v>
      </c>
      <c r="S36" s="34">
        <f t="shared" si="143"/>
        <v>-4</v>
      </c>
      <c r="T36" s="34">
        <f t="shared" si="144"/>
        <v>3</v>
      </c>
      <c r="U36" s="34">
        <f t="shared" si="145"/>
        <v>4</v>
      </c>
      <c r="V36" s="34">
        <f t="shared" si="146"/>
        <v>3</v>
      </c>
      <c r="W36" s="65">
        <f t="shared" ref="W36:W37" si="159">W35+0.001</f>
        <v>3.0000000000000001E-3</v>
      </c>
      <c r="X36" s="39">
        <f t="shared" si="147"/>
        <v>0</v>
      </c>
      <c r="Y36" s="40">
        <f t="shared" si="148"/>
        <v>0.2</v>
      </c>
      <c r="Z36" s="50">
        <f t="shared" si="149"/>
        <v>3.2</v>
      </c>
      <c r="AA36" s="47">
        <f t="shared" si="150"/>
        <v>0</v>
      </c>
      <c r="AB36" s="44">
        <f t="shared" si="151"/>
        <v>0.1</v>
      </c>
      <c r="AC36" s="71">
        <f t="shared" si="152"/>
        <v>3.3030000000000004</v>
      </c>
      <c r="AD36" s="68">
        <f t="shared" si="153"/>
        <v>3</v>
      </c>
      <c r="AF36" s="55">
        <v>3</v>
      </c>
      <c r="AG36" s="56" t="str">
        <f t="shared" si="154"/>
        <v>Schweiz</v>
      </c>
      <c r="AH36" s="56">
        <f t="shared" si="155"/>
        <v>2</v>
      </c>
      <c r="AI36" s="62">
        <f t="shared" si="156"/>
        <v>-4</v>
      </c>
      <c r="AJ36" s="57">
        <f t="shared" si="157"/>
        <v>2</v>
      </c>
      <c r="AL36">
        <f>COUNTIF(Tippa!$J$89:$J$92,Beräkningar!AF36)</f>
        <v>1</v>
      </c>
      <c r="AM36">
        <f>Tippa!J91</f>
        <v>3</v>
      </c>
      <c r="AN36" t="str">
        <f t="shared" si="158"/>
        <v>3G</v>
      </c>
      <c r="AO36">
        <f>INDEX(AM34:AM37,MATCH(N36,AG34:AG37,0),)</f>
        <v>3</v>
      </c>
      <c r="AQ36" s="1" t="s">
        <v>17</v>
      </c>
      <c r="AR36" s="28"/>
      <c r="AS36" s="28"/>
      <c r="AT36" s="8" t="s">
        <v>3</v>
      </c>
      <c r="AV36" s="75" t="s">
        <v>181</v>
      </c>
      <c r="AW36" s="74"/>
    </row>
    <row r="37" spans="2:49" x14ac:dyDescent="0.2">
      <c r="B37" s="14" t="s">
        <v>363</v>
      </c>
      <c r="C37" s="15">
        <v>0.66666666666666663</v>
      </c>
      <c r="D37" s="16" t="s">
        <v>108</v>
      </c>
      <c r="E37" s="16" t="str">
        <f t="shared" si="44"/>
        <v>A4</v>
      </c>
      <c r="F37" s="16" t="str">
        <f t="shared" si="45"/>
        <v>A1</v>
      </c>
      <c r="G37" s="16" t="str">
        <f t="shared" si="3"/>
        <v>Nederländerna</v>
      </c>
      <c r="H37" s="16" t="str">
        <f t="shared" si="2"/>
        <v>Qatar</v>
      </c>
      <c r="I37" s="16" t="str">
        <f t="shared" si="4"/>
        <v>A</v>
      </c>
      <c r="J37" s="16">
        <f>COUNTIF($I$4:I37,I37)</f>
        <v>6</v>
      </c>
      <c r="K37" s="17" t="str">
        <f t="shared" si="5"/>
        <v>A6</v>
      </c>
      <c r="M37" s="23" t="s">
        <v>133</v>
      </c>
      <c r="N37" s="7" t="s">
        <v>350</v>
      </c>
      <c r="P37" s="35">
        <f t="shared" si="140"/>
        <v>4</v>
      </c>
      <c r="Q37" s="36">
        <f t="shared" si="141"/>
        <v>3</v>
      </c>
      <c r="R37" s="36">
        <f t="shared" si="142"/>
        <v>-3</v>
      </c>
      <c r="S37" s="36">
        <f t="shared" si="143"/>
        <v>0</v>
      </c>
      <c r="T37" s="36">
        <f t="shared" si="144"/>
        <v>2</v>
      </c>
      <c r="U37" s="36">
        <f t="shared" si="145"/>
        <v>2</v>
      </c>
      <c r="V37" s="36">
        <f t="shared" si="146"/>
        <v>2</v>
      </c>
      <c r="W37" s="66">
        <f t="shared" si="159"/>
        <v>4.0000000000000001E-3</v>
      </c>
      <c r="X37" s="41">
        <f t="shared" si="147"/>
        <v>0</v>
      </c>
      <c r="Y37" s="42">
        <f t="shared" si="148"/>
        <v>0.2</v>
      </c>
      <c r="Z37" s="51">
        <f t="shared" si="149"/>
        <v>2.2000000000000002</v>
      </c>
      <c r="AA37" s="48">
        <f t="shared" si="150"/>
        <v>0</v>
      </c>
      <c r="AB37" s="45">
        <f t="shared" si="151"/>
        <v>0.1</v>
      </c>
      <c r="AC37" s="72">
        <f t="shared" si="152"/>
        <v>2.3040000000000003</v>
      </c>
      <c r="AD37" s="69">
        <f t="shared" si="153"/>
        <v>2</v>
      </c>
      <c r="AF37" s="58">
        <v>4</v>
      </c>
      <c r="AG37" s="59" t="str">
        <f t="shared" si="154"/>
        <v>Serbien</v>
      </c>
      <c r="AH37" s="59">
        <f t="shared" si="155"/>
        <v>1</v>
      </c>
      <c r="AI37" s="63">
        <f t="shared" si="156"/>
        <v>-2</v>
      </c>
      <c r="AJ37" s="60">
        <f t="shared" si="157"/>
        <v>2</v>
      </c>
      <c r="AL37">
        <f>COUNTIF(Tippa!$J$89:$J$92,Beräkningar!AF37)</f>
        <v>1</v>
      </c>
      <c r="AM37">
        <f>Tippa!J92</f>
        <v>4</v>
      </c>
      <c r="AN37" t="str">
        <f t="shared" si="158"/>
        <v>4G</v>
      </c>
      <c r="AO37">
        <f>INDEX(AM34:AM37,MATCH(N37,AG34:AG37,0),)</f>
        <v>2</v>
      </c>
      <c r="AP37" t="str">
        <f>Tippa!A67</f>
        <v>E1</v>
      </c>
      <c r="AQ37" s="2" t="str">
        <f>Tippa!C67</f>
        <v>Tyskland - Japan</v>
      </c>
      <c r="AR37" s="2" t="str">
        <f>INDEX($G$4:$G$51,MATCH(AP37,$K$4:$K$51,0),)</f>
        <v>Tyskland</v>
      </c>
      <c r="AS37" s="2" t="str">
        <f>INDEX($H$4:$H$51,MATCH(AP37,$K$4:$K$51,0),)</f>
        <v>Japan</v>
      </c>
      <c r="AT37" s="76">
        <f>Tippa!G67</f>
        <v>3</v>
      </c>
      <c r="AU37" s="76">
        <f>Tippa!H67</f>
        <v>1</v>
      </c>
      <c r="AV37" s="73">
        <f>IF(AT37="-",0,IF(AT37&gt;AU37,3,IF(AT37=AU37,1,0)))</f>
        <v>3</v>
      </c>
      <c r="AW37" s="73">
        <f>IF(AT37="-",0,IF(AU37&gt;AT37,3,IF(AU37=AT37,1,0)))</f>
        <v>0</v>
      </c>
    </row>
    <row r="38" spans="2:49" x14ac:dyDescent="0.2">
      <c r="B38" s="19" t="s">
        <v>363</v>
      </c>
      <c r="C38" s="20">
        <v>0.83333333333333337</v>
      </c>
      <c r="D38" s="21" t="s">
        <v>77</v>
      </c>
      <c r="E38" s="21" t="str">
        <f t="shared" si="44"/>
        <v>B2</v>
      </c>
      <c r="F38" s="21" t="str">
        <f t="shared" si="45"/>
        <v>B3</v>
      </c>
      <c r="G38" s="21" t="str">
        <f t="shared" si="3"/>
        <v>Iran</v>
      </c>
      <c r="H38" s="21" t="str">
        <f t="shared" si="2"/>
        <v>USA</v>
      </c>
      <c r="I38" s="21" t="str">
        <f t="shared" si="4"/>
        <v>B</v>
      </c>
      <c r="J38" s="21">
        <f>COUNTIF($I$4:I38,I38)</f>
        <v>5</v>
      </c>
      <c r="K38" s="22" t="str">
        <f t="shared" si="5"/>
        <v>B5</v>
      </c>
      <c r="AP38" t="str">
        <f>Tippa!A68</f>
        <v>E2</v>
      </c>
      <c r="AQ38" s="3" t="str">
        <f>Tippa!C68</f>
        <v>Spanien - Costa Rica</v>
      </c>
      <c r="AR38" s="3" t="str">
        <f t="shared" ref="AR38:AR42" si="160">INDEX($G$4:$G$51,MATCH(AP38,$K$4:$K$51,0),)</f>
        <v>Spanien</v>
      </c>
      <c r="AS38" s="3" t="str">
        <f t="shared" ref="AS38:AS39" si="161">INDEX($H$4:$H$51,MATCH(AP38,$K$4:$K$51,0),)</f>
        <v>Costa Rica</v>
      </c>
      <c r="AT38" s="76">
        <f>Tippa!G68</f>
        <v>3</v>
      </c>
      <c r="AU38" s="76">
        <f>Tippa!H68</f>
        <v>1</v>
      </c>
      <c r="AV38" s="73">
        <f t="shared" ref="AV38:AV42" si="162">IF(AT38="-",0,IF(AT38&gt;AU38,3,IF(AT38=AU38,1,0)))</f>
        <v>3</v>
      </c>
      <c r="AW38" s="73">
        <f t="shared" ref="AW38:AW42" si="163">IF(AT38="-",0,IF(AU38&gt;AT38,3,IF(AU38=AT38,1,0)))</f>
        <v>0</v>
      </c>
    </row>
    <row r="39" spans="2:49" x14ac:dyDescent="0.2">
      <c r="B39" s="14" t="s">
        <v>363</v>
      </c>
      <c r="C39" s="15">
        <v>0.83333333333333337</v>
      </c>
      <c r="D39" s="16" t="s">
        <v>78</v>
      </c>
      <c r="E39" s="16" t="str">
        <f t="shared" si="44"/>
        <v>B4</v>
      </c>
      <c r="F39" s="16" t="str">
        <f t="shared" si="45"/>
        <v>B1</v>
      </c>
      <c r="G39" s="16" t="str">
        <f t="shared" si="3"/>
        <v>Wales</v>
      </c>
      <c r="H39" s="16" t="str">
        <f t="shared" si="2"/>
        <v>England</v>
      </c>
      <c r="I39" s="16" t="str">
        <f t="shared" si="4"/>
        <v>B</v>
      </c>
      <c r="J39" s="16">
        <f>COUNTIF($I$4:I39,I39)</f>
        <v>6</v>
      </c>
      <c r="K39" s="17" t="str">
        <f t="shared" si="5"/>
        <v>B6</v>
      </c>
      <c r="M39" s="13" t="s">
        <v>134</v>
      </c>
      <c r="N39" s="5" t="s">
        <v>26</v>
      </c>
      <c r="P39" s="31">
        <f>SUMIF($AR$61:$AR$66,N39,$AV$61:$AV$66)+SUMIF($AS$61:$AS$66,N39,$AW$61:$AW$66)</f>
        <v>7</v>
      </c>
      <c r="Q39" s="32">
        <f>SUMIF($AR$61:$AR$66,N39,$AT$61:$AT$66)+SUMIF($AS$61:$AS$66,N39,$AU$61:$AU$66)</f>
        <v>6</v>
      </c>
      <c r="R39" s="32">
        <f>-SUMIF($AR$61:$AR$66,N39,$AU$61:$AU$66)-SUMIF($AS$61:$AS$66,N39,$AT$61:$AT$66)</f>
        <v>-1</v>
      </c>
      <c r="S39" s="32">
        <f>SUM(Q39:R39)</f>
        <v>5</v>
      </c>
      <c r="T39" s="32">
        <f>RANK(P39,$P$39:$P$42,0)</f>
        <v>1</v>
      </c>
      <c r="U39" s="32">
        <f>RANK(S39,$S$39:$S$42,0)</f>
        <v>1</v>
      </c>
      <c r="V39" s="32">
        <f>RANK(Q39,$Q$39:$Q$42,0)</f>
        <v>1</v>
      </c>
      <c r="W39" s="64">
        <v>1E-3</v>
      </c>
      <c r="X39" s="37">
        <f>IF(COUNTIF($T$39:$T$42,T39)&gt;1,U39,0)</f>
        <v>1</v>
      </c>
      <c r="Y39" s="38">
        <f>IF(X39=MAX($X$39:$X$42),0.2,0)</f>
        <v>0</v>
      </c>
      <c r="Z39" s="49">
        <f>Y39+T39</f>
        <v>1</v>
      </c>
      <c r="AA39" s="46">
        <f>IF(COUNTIF($Z$39:$Z$42,Z39)&gt;1,V39,0)</f>
        <v>0</v>
      </c>
      <c r="AB39" s="43">
        <f>IF(AA39=MAX($AA$39:$AA$42),0.1,0)</f>
        <v>0.1</v>
      </c>
      <c r="AC39" s="70">
        <f>Z39+AB39+W39</f>
        <v>1.101</v>
      </c>
      <c r="AD39" s="67">
        <f>_xlfn.RANK.EQ(AC39,$AC$39:$AC$42,1)</f>
        <v>1</v>
      </c>
      <c r="AF39" s="52">
        <v>1</v>
      </c>
      <c r="AG39" s="53" t="str">
        <f>INDEX($N$39:$N$42,MATCH($AF39,$AD$39:$AD$42,0),)</f>
        <v>Portugal</v>
      </c>
      <c r="AH39" s="53">
        <f>INDEX($P$39:$P$42,MATCH($AF39,$AD$39:$AD$42,0),)</f>
        <v>7</v>
      </c>
      <c r="AI39" s="61">
        <f>INDEX($S$39:$S$42,MATCH($AF39,$AD$39:$AD$42,0),)</f>
        <v>5</v>
      </c>
      <c r="AJ39" s="54">
        <f>INDEX($Q$39:$Q$42,MATCH($AF39,$AD$39:$AD$42,0),)</f>
        <v>6</v>
      </c>
      <c r="AL39">
        <f>COUNTIF(Tippa!$J$100:$J$103,Beräkningar!AF39)</f>
        <v>1</v>
      </c>
      <c r="AM39">
        <f>Tippa!J100</f>
        <v>1</v>
      </c>
      <c r="AN39" t="str">
        <f>AM39&amp;"H"</f>
        <v>1H</v>
      </c>
      <c r="AO39">
        <f>INDEX(AM39:AM42,MATCH(N39,AG39:AG42,0),)</f>
        <v>1</v>
      </c>
      <c r="AP39" t="str">
        <f>Tippa!A69</f>
        <v>E3</v>
      </c>
      <c r="AQ39" s="3" t="str">
        <f>Tippa!C69</f>
        <v>Japan - Costa Rica</v>
      </c>
      <c r="AR39" s="3" t="str">
        <f t="shared" si="160"/>
        <v>Japan</v>
      </c>
      <c r="AS39" s="3" t="str">
        <f t="shared" si="161"/>
        <v>Costa Rica</v>
      </c>
      <c r="AT39" s="76">
        <f>Tippa!G69</f>
        <v>1</v>
      </c>
      <c r="AU39" s="76">
        <f>Tippa!H69</f>
        <v>0</v>
      </c>
      <c r="AV39" s="73">
        <f t="shared" si="162"/>
        <v>3</v>
      </c>
      <c r="AW39" s="73">
        <f t="shared" si="163"/>
        <v>0</v>
      </c>
    </row>
    <row r="40" spans="2:49" x14ac:dyDescent="0.2">
      <c r="B40" s="19" t="s">
        <v>364</v>
      </c>
      <c r="C40" s="20">
        <v>0.83333333333333337</v>
      </c>
      <c r="D40" s="21" t="s">
        <v>80</v>
      </c>
      <c r="E40" s="21" t="str">
        <f t="shared" si="44"/>
        <v>C2</v>
      </c>
      <c r="F40" s="21" t="str">
        <f t="shared" si="45"/>
        <v>C3</v>
      </c>
      <c r="G40" s="21" t="str">
        <f t="shared" si="3"/>
        <v>Saudiarabien</v>
      </c>
      <c r="H40" s="21" t="str">
        <f t="shared" si="2"/>
        <v>Mexiko</v>
      </c>
      <c r="I40" s="21" t="str">
        <f t="shared" si="4"/>
        <v>C</v>
      </c>
      <c r="J40" s="21">
        <f>COUNTIF($I$4:I40,I40)</f>
        <v>5</v>
      </c>
      <c r="K40" s="22" t="str">
        <f t="shared" si="5"/>
        <v>C5</v>
      </c>
      <c r="M40" s="18" t="s">
        <v>135</v>
      </c>
      <c r="N40" s="6" t="s">
        <v>351</v>
      </c>
      <c r="P40" s="33">
        <f t="shared" ref="P40:P42" si="164">SUMIF($AR$61:$AR$66,N40,$AV$61:$AV$66)+SUMIF($AS$61:$AS$66,N40,$AW$61:$AW$66)</f>
        <v>3</v>
      </c>
      <c r="Q40" s="34">
        <f t="shared" ref="Q40:Q42" si="165">SUMIF($AR$61:$AR$66,N40,$AT$61:$AT$66)+SUMIF($AS$61:$AS$66,N40,$AU$61:$AU$66)</f>
        <v>1</v>
      </c>
      <c r="R40" s="34">
        <f t="shared" ref="R40:R42" si="166">-SUMIF($AR$61:$AR$66,N40,$AU$61:$AU$66)-SUMIF($AS$61:$AS$66,N40,$AT$61:$AT$66)</f>
        <v>-5</v>
      </c>
      <c r="S40" s="34">
        <f t="shared" ref="S40:S42" si="167">SUM(Q40:R40)</f>
        <v>-4</v>
      </c>
      <c r="T40" s="34">
        <f t="shared" ref="T40:T42" si="168">RANK(P40,$P$39:$P$42,0)</f>
        <v>3</v>
      </c>
      <c r="U40" s="34">
        <f t="shared" ref="U40:U42" si="169">RANK(S40,$S$39:$S$42,0)</f>
        <v>3</v>
      </c>
      <c r="V40" s="34">
        <f t="shared" ref="V40:V42" si="170">RANK(Q40,$Q$39:$Q$42,0)</f>
        <v>3</v>
      </c>
      <c r="W40" s="65">
        <f>W39+0.001</f>
        <v>2E-3</v>
      </c>
      <c r="X40" s="39">
        <f t="shared" ref="X40:X42" si="171">IF(COUNTIF($T$39:$T$42,T40)&gt;1,U40,0)</f>
        <v>0</v>
      </c>
      <c r="Y40" s="40">
        <f t="shared" ref="Y40:Y42" si="172">IF(X40=MAX($X$39:$X$42),0.2,0)</f>
        <v>0</v>
      </c>
      <c r="Z40" s="50">
        <f t="shared" ref="Z40:Z42" si="173">Y40+T40</f>
        <v>3</v>
      </c>
      <c r="AA40" s="47">
        <f t="shared" ref="AA40:AA42" si="174">IF(COUNTIF($Z$39:$Z$42,Z40)&gt;1,V40,0)</f>
        <v>0</v>
      </c>
      <c r="AB40" s="44">
        <f t="shared" ref="AB40:AB42" si="175">IF(AA40=MAX($AA$39:$AA$42),0.1,0)</f>
        <v>0.1</v>
      </c>
      <c r="AC40" s="71">
        <f t="shared" ref="AC40:AC42" si="176">Z40+AB40+W40</f>
        <v>3.1019999999999999</v>
      </c>
      <c r="AD40" s="68">
        <f t="shared" ref="AD40:AD42" si="177">_xlfn.RANK.EQ(AC40,$AC$39:$AC$42,1)</f>
        <v>3</v>
      </c>
      <c r="AF40" s="55">
        <v>2</v>
      </c>
      <c r="AG40" s="56" t="str">
        <f t="shared" ref="AG40:AG42" si="178">INDEX($N$39:$N$42,MATCH($AF40,$AD$39:$AD$42,0),)</f>
        <v>Uruguay</v>
      </c>
      <c r="AH40" s="56">
        <f t="shared" ref="AH40:AH42" si="179">INDEX($P$39:$P$42,MATCH($AF40,$AD$39:$AD$42,0),)</f>
        <v>7</v>
      </c>
      <c r="AI40" s="62">
        <f t="shared" ref="AI40:AI42" si="180">INDEX($S$39:$S$42,MATCH($AF40,$AD$39:$AD$42,0),)</f>
        <v>4</v>
      </c>
      <c r="AJ40" s="57">
        <f t="shared" ref="AJ40:AJ42" si="181">INDEX($Q$39:$Q$42,MATCH($AF40,$AD$39:$AD$42,0),)</f>
        <v>5</v>
      </c>
      <c r="AL40">
        <f>COUNTIF(Tippa!$J$100:$J$103,Beräkningar!AF40)</f>
        <v>1</v>
      </c>
      <c r="AM40">
        <f>Tippa!J101</f>
        <v>2</v>
      </c>
      <c r="AN40" t="str">
        <f t="shared" ref="AN40:AN42" si="182">AM40&amp;"H"</f>
        <v>2H</v>
      </c>
      <c r="AO40">
        <f>INDEX(AM39:AM42,MATCH(N40,AG39:AG42,0),)</f>
        <v>3</v>
      </c>
      <c r="AP40" t="str">
        <f>Tippa!A70</f>
        <v>E4</v>
      </c>
      <c r="AQ40" s="3" t="str">
        <f>Tippa!C70</f>
        <v>Spanien - Tyskland</v>
      </c>
      <c r="AR40" s="3" t="str">
        <f t="shared" si="160"/>
        <v>Spanien</v>
      </c>
      <c r="AS40" s="3" t="str">
        <f>INDEX($H$4:$H$51,MATCH(AP40,$K$4:$K$51,0),)</f>
        <v>Tyskland</v>
      </c>
      <c r="AT40" s="76">
        <f>Tippa!G70</f>
        <v>2</v>
      </c>
      <c r="AU40" s="76">
        <f>Tippa!H70</f>
        <v>2</v>
      </c>
      <c r="AV40" s="73">
        <f t="shared" si="162"/>
        <v>1</v>
      </c>
      <c r="AW40" s="73">
        <f t="shared" si="163"/>
        <v>1</v>
      </c>
    </row>
    <row r="41" spans="2:49" x14ac:dyDescent="0.2">
      <c r="B41" s="14" t="s">
        <v>364</v>
      </c>
      <c r="C41" s="15">
        <v>0.83333333333333337</v>
      </c>
      <c r="D41" s="16" t="s">
        <v>79</v>
      </c>
      <c r="E41" s="16" t="str">
        <f t="shared" si="44"/>
        <v>C4</v>
      </c>
      <c r="F41" s="16" t="str">
        <f t="shared" si="45"/>
        <v>C1</v>
      </c>
      <c r="G41" s="16" t="str">
        <f t="shared" si="3"/>
        <v>Polen</v>
      </c>
      <c r="H41" s="16" t="str">
        <f t="shared" si="2"/>
        <v>Argentina</v>
      </c>
      <c r="I41" s="16" t="str">
        <f t="shared" si="4"/>
        <v>C</v>
      </c>
      <c r="J41" s="16">
        <f>COUNTIF($I$4:I41,I41)</f>
        <v>6</v>
      </c>
      <c r="K41" s="17" t="str">
        <f t="shared" si="5"/>
        <v>C6</v>
      </c>
      <c r="M41" s="18" t="s">
        <v>136</v>
      </c>
      <c r="N41" s="6" t="s">
        <v>201</v>
      </c>
      <c r="P41" s="33">
        <f t="shared" si="164"/>
        <v>7</v>
      </c>
      <c r="Q41" s="34">
        <f t="shared" si="165"/>
        <v>5</v>
      </c>
      <c r="R41" s="34">
        <f t="shared" si="166"/>
        <v>-1</v>
      </c>
      <c r="S41" s="34">
        <f t="shared" si="167"/>
        <v>4</v>
      </c>
      <c r="T41" s="34">
        <f t="shared" si="168"/>
        <v>1</v>
      </c>
      <c r="U41" s="34">
        <f t="shared" si="169"/>
        <v>2</v>
      </c>
      <c r="V41" s="34">
        <f t="shared" si="170"/>
        <v>2</v>
      </c>
      <c r="W41" s="65">
        <f t="shared" ref="W41:W42" si="183">W40+0.001</f>
        <v>3.0000000000000001E-3</v>
      </c>
      <c r="X41" s="39">
        <f t="shared" si="171"/>
        <v>2</v>
      </c>
      <c r="Y41" s="40">
        <f t="shared" si="172"/>
        <v>0.2</v>
      </c>
      <c r="Z41" s="50">
        <f t="shared" si="173"/>
        <v>1.2</v>
      </c>
      <c r="AA41" s="47">
        <f t="shared" si="174"/>
        <v>0</v>
      </c>
      <c r="AB41" s="44">
        <f t="shared" si="175"/>
        <v>0.1</v>
      </c>
      <c r="AC41" s="71">
        <f t="shared" si="176"/>
        <v>1.3029999999999999</v>
      </c>
      <c r="AD41" s="68">
        <f t="shared" si="177"/>
        <v>2</v>
      </c>
      <c r="AF41" s="55">
        <v>3</v>
      </c>
      <c r="AG41" s="56" t="str">
        <f t="shared" si="178"/>
        <v>Ghana</v>
      </c>
      <c r="AH41" s="56">
        <f t="shared" si="179"/>
        <v>3</v>
      </c>
      <c r="AI41" s="62">
        <f t="shared" si="180"/>
        <v>-4</v>
      </c>
      <c r="AJ41" s="57">
        <f t="shared" si="181"/>
        <v>1</v>
      </c>
      <c r="AL41">
        <f>COUNTIF(Tippa!$J$100:$J$103,Beräkningar!AF41)</f>
        <v>1</v>
      </c>
      <c r="AM41">
        <f>Tippa!J102</f>
        <v>3</v>
      </c>
      <c r="AN41" t="str">
        <f t="shared" si="182"/>
        <v>3H</v>
      </c>
      <c r="AO41">
        <f>INDEX(AM39:AM42,MATCH(N41,AG39:AG42,0),)</f>
        <v>2</v>
      </c>
      <c r="AP41" t="str">
        <f>Tippa!A71</f>
        <v>E5</v>
      </c>
      <c r="AQ41" s="3" t="str">
        <f>Tippa!C71</f>
        <v>Costa Rica - Tyskland</v>
      </c>
      <c r="AR41" s="3" t="str">
        <f t="shared" si="160"/>
        <v>Costa Rica</v>
      </c>
      <c r="AS41" s="3" t="str">
        <f t="shared" ref="AS41:AS42" si="184">INDEX($H$4:$H$51,MATCH(AP41,$K$4:$K$51,0),)</f>
        <v>Tyskland</v>
      </c>
      <c r="AT41" s="76">
        <f>Tippa!G71</f>
        <v>0</v>
      </c>
      <c r="AU41" s="76">
        <f>Tippa!H71</f>
        <v>5</v>
      </c>
      <c r="AV41" s="73">
        <f t="shared" si="162"/>
        <v>0</v>
      </c>
      <c r="AW41" s="73">
        <f t="shared" si="163"/>
        <v>3</v>
      </c>
    </row>
    <row r="42" spans="2:49" x14ac:dyDescent="0.2">
      <c r="B42" s="19" t="s">
        <v>364</v>
      </c>
      <c r="C42" s="20">
        <v>0.66666666666666663</v>
      </c>
      <c r="D42" s="21" t="s">
        <v>81</v>
      </c>
      <c r="E42" s="21" t="str">
        <f t="shared" si="44"/>
        <v>D2</v>
      </c>
      <c r="F42" s="21" t="str">
        <f t="shared" si="45"/>
        <v>D3</v>
      </c>
      <c r="G42" s="21" t="str">
        <f t="shared" si="3"/>
        <v>Australien</v>
      </c>
      <c r="H42" s="21" t="str">
        <f t="shared" si="2"/>
        <v>Danmark</v>
      </c>
      <c r="I42" s="21" t="str">
        <f t="shared" si="4"/>
        <v>D</v>
      </c>
      <c r="J42" s="21">
        <f>COUNTIF($I$4:I42,I42)</f>
        <v>5</v>
      </c>
      <c r="K42" s="22" t="str">
        <f t="shared" si="5"/>
        <v>D5</v>
      </c>
      <c r="M42" s="23" t="s">
        <v>137</v>
      </c>
      <c r="N42" s="7" t="s">
        <v>209</v>
      </c>
      <c r="P42" s="35">
        <f t="shared" si="164"/>
        <v>0</v>
      </c>
      <c r="Q42" s="36">
        <f t="shared" si="165"/>
        <v>0</v>
      </c>
      <c r="R42" s="36">
        <f t="shared" si="166"/>
        <v>-5</v>
      </c>
      <c r="S42" s="36">
        <f t="shared" si="167"/>
        <v>-5</v>
      </c>
      <c r="T42" s="36">
        <f t="shared" si="168"/>
        <v>4</v>
      </c>
      <c r="U42" s="36">
        <f t="shared" si="169"/>
        <v>4</v>
      </c>
      <c r="V42" s="36">
        <f t="shared" si="170"/>
        <v>4</v>
      </c>
      <c r="W42" s="66">
        <f t="shared" si="183"/>
        <v>4.0000000000000001E-3</v>
      </c>
      <c r="X42" s="41">
        <f t="shared" si="171"/>
        <v>0</v>
      </c>
      <c r="Y42" s="42">
        <f t="shared" si="172"/>
        <v>0</v>
      </c>
      <c r="Z42" s="51">
        <f t="shared" si="173"/>
        <v>4</v>
      </c>
      <c r="AA42" s="48">
        <f t="shared" si="174"/>
        <v>0</v>
      </c>
      <c r="AB42" s="45">
        <f t="shared" si="175"/>
        <v>0.1</v>
      </c>
      <c r="AC42" s="72">
        <f t="shared" si="176"/>
        <v>4.1039999999999992</v>
      </c>
      <c r="AD42" s="69">
        <f t="shared" si="177"/>
        <v>4</v>
      </c>
      <c r="AF42" s="58">
        <v>4</v>
      </c>
      <c r="AG42" s="59" t="str">
        <f t="shared" si="178"/>
        <v>Sydkorea</v>
      </c>
      <c r="AH42" s="59">
        <f t="shared" si="179"/>
        <v>0</v>
      </c>
      <c r="AI42" s="63">
        <f t="shared" si="180"/>
        <v>-5</v>
      </c>
      <c r="AJ42" s="60">
        <f t="shared" si="181"/>
        <v>0</v>
      </c>
      <c r="AL42">
        <f>COUNTIF(Tippa!$J$100:$J$103,Beräkningar!AF42)</f>
        <v>1</v>
      </c>
      <c r="AM42">
        <f>Tippa!J103</f>
        <v>4</v>
      </c>
      <c r="AN42" t="str">
        <f t="shared" si="182"/>
        <v>4H</v>
      </c>
      <c r="AO42">
        <f>INDEX(AM39:AM42,MATCH(N42,AG39:AG42,0),)</f>
        <v>4</v>
      </c>
      <c r="AP42" t="str">
        <f>Tippa!A72</f>
        <v>E6</v>
      </c>
      <c r="AQ42" s="4" t="str">
        <f>Tippa!C72</f>
        <v>Japan - Spanien</v>
      </c>
      <c r="AR42" s="4" t="str">
        <f t="shared" si="160"/>
        <v>Japan</v>
      </c>
      <c r="AS42" s="4" t="str">
        <f t="shared" si="184"/>
        <v>Spanien</v>
      </c>
      <c r="AT42" s="76">
        <f>Tippa!G72</f>
        <v>1</v>
      </c>
      <c r="AU42" s="76">
        <f>Tippa!H72</f>
        <v>1</v>
      </c>
      <c r="AV42" s="73">
        <f t="shared" si="162"/>
        <v>1</v>
      </c>
      <c r="AW42" s="73">
        <f t="shared" si="163"/>
        <v>1</v>
      </c>
    </row>
    <row r="43" spans="2:49" x14ac:dyDescent="0.2">
      <c r="B43" s="14" t="s">
        <v>364</v>
      </c>
      <c r="C43" s="15">
        <v>0.66666666666666663</v>
      </c>
      <c r="D43" s="16" t="s">
        <v>82</v>
      </c>
      <c r="E43" s="16" t="str">
        <f t="shared" si="44"/>
        <v>D4</v>
      </c>
      <c r="F43" s="16" t="str">
        <f t="shared" si="45"/>
        <v>D1</v>
      </c>
      <c r="G43" s="16" t="str">
        <f t="shared" si="3"/>
        <v>Tunisien</v>
      </c>
      <c r="H43" s="16" t="str">
        <f t="shared" si="2"/>
        <v>Frankrike</v>
      </c>
      <c r="I43" s="16" t="str">
        <f t="shared" si="4"/>
        <v>D</v>
      </c>
      <c r="J43" s="16">
        <f>COUNTIF($I$4:I43,I43)</f>
        <v>6</v>
      </c>
      <c r="K43" s="17" t="str">
        <f t="shared" si="5"/>
        <v>D6</v>
      </c>
      <c r="AV43" s="74"/>
      <c r="AW43" s="74"/>
    </row>
    <row r="44" spans="2:49" x14ac:dyDescent="0.2">
      <c r="B44" s="19" t="s">
        <v>365</v>
      </c>
      <c r="C44" s="20">
        <v>0.83333333333333337</v>
      </c>
      <c r="D44" s="21" t="s">
        <v>86</v>
      </c>
      <c r="E44" s="21" t="str">
        <f t="shared" ref="E44:E51" si="185">LEFT(D44,2)</f>
        <v>E2</v>
      </c>
      <c r="F44" s="21" t="str">
        <f t="shared" ref="F44:F51" si="186">RIGHT(D44,2)</f>
        <v>E3</v>
      </c>
      <c r="G44" s="21" t="str">
        <f t="shared" si="3"/>
        <v>Costa Rica</v>
      </c>
      <c r="H44" s="21" t="str">
        <f t="shared" si="2"/>
        <v>Tyskland</v>
      </c>
      <c r="I44" s="21" t="str">
        <f t="shared" ref="I44:I51" si="187">LEFT(D44,1)</f>
        <v>E</v>
      </c>
      <c r="J44" s="21">
        <f>COUNTIF($I$4:I44,I44)</f>
        <v>5</v>
      </c>
      <c r="K44" s="22" t="str">
        <f t="shared" si="5"/>
        <v>E5</v>
      </c>
      <c r="AQ44" s="1" t="s">
        <v>18</v>
      </c>
      <c r="AR44" s="28"/>
      <c r="AS44" s="28"/>
      <c r="AT44" s="8" t="s">
        <v>3</v>
      </c>
      <c r="AV44" s="75" t="s">
        <v>181</v>
      </c>
      <c r="AW44" s="74"/>
    </row>
    <row r="45" spans="2:49" x14ac:dyDescent="0.2">
      <c r="B45" s="14" t="s">
        <v>365</v>
      </c>
      <c r="C45" s="15">
        <v>0.83333333333333337</v>
      </c>
      <c r="D45" s="16" t="s">
        <v>85</v>
      </c>
      <c r="E45" s="16" t="str">
        <f t="shared" si="185"/>
        <v>E4</v>
      </c>
      <c r="F45" s="16" t="str">
        <f t="shared" si="186"/>
        <v>E1</v>
      </c>
      <c r="G45" s="16" t="str">
        <f t="shared" si="3"/>
        <v>Japan</v>
      </c>
      <c r="H45" s="16" t="str">
        <f t="shared" si="2"/>
        <v>Spanien</v>
      </c>
      <c r="I45" s="16" t="str">
        <f t="shared" si="187"/>
        <v>E</v>
      </c>
      <c r="J45" s="16">
        <f>COUNTIF($I$4:I45,I45)</f>
        <v>6</v>
      </c>
      <c r="K45" s="17" t="str">
        <f t="shared" si="5"/>
        <v>E6</v>
      </c>
      <c r="AP45" t="str">
        <f>Tippa!A78</f>
        <v>F1</v>
      </c>
      <c r="AQ45" s="2" t="str">
        <f>Tippa!C78</f>
        <v>Belgien - Kanada</v>
      </c>
      <c r="AR45" s="2" t="str">
        <f>INDEX($G$4:$G$51,MATCH(AP45,$K$4:$K$51,0),)</f>
        <v>Belgien</v>
      </c>
      <c r="AS45" s="2" t="str">
        <f>INDEX($H$4:$H$51,MATCH(AP45,$K$4:$K$51,0),)</f>
        <v>Kanada</v>
      </c>
      <c r="AT45" s="76">
        <f>Tippa!G78</f>
        <v>3</v>
      </c>
      <c r="AU45" s="76">
        <f>Tippa!H78</f>
        <v>0</v>
      </c>
      <c r="AV45" s="73">
        <f>IF(AT45="-",0,IF(AT45&gt;AU45,3,IF(AT45=AU45,1,0)))</f>
        <v>3</v>
      </c>
      <c r="AW45" s="73">
        <f>IF(AT45="-",0,IF(AU45&gt;AT45,3,IF(AU45=AT45,1,0)))</f>
        <v>0</v>
      </c>
    </row>
    <row r="46" spans="2:49" x14ac:dyDescent="0.2">
      <c r="B46" s="19" t="s">
        <v>365</v>
      </c>
      <c r="C46" s="20">
        <v>0.66666666666666663</v>
      </c>
      <c r="D46" s="21" t="s">
        <v>84</v>
      </c>
      <c r="E46" s="21" t="str">
        <f t="shared" si="185"/>
        <v>F2</v>
      </c>
      <c r="F46" s="21" t="str">
        <f t="shared" si="186"/>
        <v>F3</v>
      </c>
      <c r="G46" s="21" t="str">
        <f t="shared" si="3"/>
        <v>Kanada</v>
      </c>
      <c r="H46" s="21" t="str">
        <f t="shared" si="2"/>
        <v>Marocko</v>
      </c>
      <c r="I46" s="21" t="str">
        <f t="shared" si="187"/>
        <v>F</v>
      </c>
      <c r="J46" s="21">
        <f>COUNTIF($I$4:I46,I46)</f>
        <v>5</v>
      </c>
      <c r="K46" s="22" t="str">
        <f t="shared" si="5"/>
        <v>F5</v>
      </c>
      <c r="AP46" t="str">
        <f>Tippa!A79</f>
        <v>F2</v>
      </c>
      <c r="AQ46" s="3" t="str">
        <f>Tippa!C79</f>
        <v>Marocko - Kroatien</v>
      </c>
      <c r="AR46" s="3" t="str">
        <f t="shared" ref="AR46:AR50" si="188">INDEX($G$4:$G$51,MATCH(AP46,$K$4:$K$51,0),)</f>
        <v>Marocko</v>
      </c>
      <c r="AS46" s="3" t="str">
        <f t="shared" ref="AS46:AS47" si="189">INDEX($H$4:$H$51,MATCH(AP46,$K$4:$K$51,0),)</f>
        <v>Kroatien</v>
      </c>
      <c r="AT46" s="76">
        <f>Tippa!G79</f>
        <v>0</v>
      </c>
      <c r="AU46" s="76">
        <f>Tippa!H79</f>
        <v>2</v>
      </c>
      <c r="AV46" s="73">
        <f t="shared" ref="AV46:AV50" si="190">IF(AT46="-",0,IF(AT46&gt;AU46,3,IF(AT46=AU46,1,0)))</f>
        <v>0</v>
      </c>
      <c r="AW46" s="73">
        <f t="shared" ref="AW46:AW50" si="191">IF(AT46="-",0,IF(AU46&gt;AT46,3,IF(AU46=AT46,1,0)))</f>
        <v>3</v>
      </c>
    </row>
    <row r="47" spans="2:49" x14ac:dyDescent="0.2">
      <c r="B47" s="14" t="s">
        <v>365</v>
      </c>
      <c r="C47" s="15">
        <v>0.66666666666666663</v>
      </c>
      <c r="D47" s="16" t="s">
        <v>83</v>
      </c>
      <c r="E47" s="16" t="str">
        <f t="shared" si="185"/>
        <v>F4</v>
      </c>
      <c r="F47" s="16" t="str">
        <f t="shared" si="186"/>
        <v>F1</v>
      </c>
      <c r="G47" s="16" t="str">
        <f t="shared" si="3"/>
        <v>Kroatien</v>
      </c>
      <c r="H47" s="16" t="str">
        <f t="shared" si="2"/>
        <v>Belgien</v>
      </c>
      <c r="I47" s="16" t="str">
        <f t="shared" si="187"/>
        <v>F</v>
      </c>
      <c r="J47" s="16">
        <f>COUNTIF($I$4:I47,I47)</f>
        <v>6</v>
      </c>
      <c r="K47" s="17" t="str">
        <f t="shared" si="5"/>
        <v>F6</v>
      </c>
      <c r="AP47" t="str">
        <f>Tippa!A80</f>
        <v>F3</v>
      </c>
      <c r="AQ47" s="3" t="str">
        <f>Tippa!C80</f>
        <v>Belgien - Marocko</v>
      </c>
      <c r="AR47" s="3" t="str">
        <f t="shared" si="188"/>
        <v>Belgien</v>
      </c>
      <c r="AS47" s="3" t="str">
        <f t="shared" si="189"/>
        <v>Marocko</v>
      </c>
      <c r="AT47" s="76">
        <f>Tippa!G80</f>
        <v>2</v>
      </c>
      <c r="AU47" s="76">
        <f>Tippa!H80</f>
        <v>0</v>
      </c>
      <c r="AV47" s="73">
        <f t="shared" si="190"/>
        <v>3</v>
      </c>
      <c r="AW47" s="73">
        <f t="shared" si="191"/>
        <v>0</v>
      </c>
    </row>
    <row r="48" spans="2:49" x14ac:dyDescent="0.2">
      <c r="B48" s="19" t="s">
        <v>366</v>
      </c>
      <c r="C48" s="20">
        <v>0.66666666666666663</v>
      </c>
      <c r="D48" s="21" t="s">
        <v>88</v>
      </c>
      <c r="E48" s="21" t="str">
        <f t="shared" si="185"/>
        <v>H2</v>
      </c>
      <c r="F48" s="21" t="str">
        <f t="shared" si="186"/>
        <v>H3</v>
      </c>
      <c r="G48" s="21" t="str">
        <f t="shared" si="3"/>
        <v>Ghana</v>
      </c>
      <c r="H48" s="21" t="str">
        <f t="shared" si="2"/>
        <v>Uruguay</v>
      </c>
      <c r="I48" s="21" t="str">
        <f t="shared" si="187"/>
        <v>H</v>
      </c>
      <c r="J48" s="21">
        <f>COUNTIF($I$4:I48,I48)</f>
        <v>5</v>
      </c>
      <c r="K48" s="22" t="str">
        <f t="shared" si="5"/>
        <v>H5</v>
      </c>
      <c r="AP48" t="str">
        <f>Tippa!A81</f>
        <v>F4</v>
      </c>
      <c r="AQ48" s="3" t="str">
        <f>Tippa!C81</f>
        <v>Kroatien - Kanada</v>
      </c>
      <c r="AR48" s="3" t="str">
        <f t="shared" si="188"/>
        <v>Kroatien</v>
      </c>
      <c r="AS48" s="3" t="str">
        <f>INDEX($H$4:$H$51,MATCH(AP48,$K$4:$K$51,0),)</f>
        <v>Kanada</v>
      </c>
      <c r="AT48" s="76">
        <f>Tippa!G81</f>
        <v>3</v>
      </c>
      <c r="AU48" s="76">
        <f>Tippa!H81</f>
        <v>0</v>
      </c>
      <c r="AV48" s="73">
        <f t="shared" si="190"/>
        <v>3</v>
      </c>
      <c r="AW48" s="73">
        <f t="shared" si="191"/>
        <v>0</v>
      </c>
    </row>
    <row r="49" spans="2:49" x14ac:dyDescent="0.2">
      <c r="B49" s="14" t="s">
        <v>366</v>
      </c>
      <c r="C49" s="15">
        <v>0.66666666666666663</v>
      </c>
      <c r="D49" s="16" t="s">
        <v>87</v>
      </c>
      <c r="E49" s="16" t="str">
        <f t="shared" si="185"/>
        <v>H4</v>
      </c>
      <c r="F49" s="16" t="str">
        <f t="shared" si="186"/>
        <v>H1</v>
      </c>
      <c r="G49" s="16" t="str">
        <f t="shared" si="3"/>
        <v>Sydkorea</v>
      </c>
      <c r="H49" s="16" t="str">
        <f t="shared" si="2"/>
        <v>Portugal</v>
      </c>
      <c r="I49" s="16" t="str">
        <f t="shared" si="187"/>
        <v>H</v>
      </c>
      <c r="J49" s="16">
        <f>COUNTIF($I$4:I49,I49)</f>
        <v>6</v>
      </c>
      <c r="K49" s="17" t="str">
        <f t="shared" si="5"/>
        <v>H6</v>
      </c>
      <c r="AP49" t="str">
        <f>Tippa!A82</f>
        <v>F5</v>
      </c>
      <c r="AQ49" s="3" t="str">
        <f>Tippa!C82</f>
        <v>Kanada - Marocko</v>
      </c>
      <c r="AR49" s="3" t="str">
        <f t="shared" si="188"/>
        <v>Kanada</v>
      </c>
      <c r="AS49" s="3" t="str">
        <f t="shared" ref="AS49:AS50" si="192">INDEX($H$4:$H$51,MATCH(AP49,$K$4:$K$51,0),)</f>
        <v>Marocko</v>
      </c>
      <c r="AT49" s="76">
        <f>Tippa!G82</f>
        <v>0</v>
      </c>
      <c r="AU49" s="76">
        <f>Tippa!H82</f>
        <v>1</v>
      </c>
      <c r="AV49" s="73">
        <f t="shared" si="190"/>
        <v>0</v>
      </c>
      <c r="AW49" s="73">
        <f t="shared" si="191"/>
        <v>3</v>
      </c>
    </row>
    <row r="50" spans="2:49" x14ac:dyDescent="0.2">
      <c r="B50" s="19" t="s">
        <v>366</v>
      </c>
      <c r="C50" s="20">
        <v>0.83333333333333337</v>
      </c>
      <c r="D50" s="21" t="s">
        <v>90</v>
      </c>
      <c r="E50" s="21" t="str">
        <f t="shared" si="185"/>
        <v>G2</v>
      </c>
      <c r="F50" s="21" t="str">
        <f t="shared" si="186"/>
        <v>G3</v>
      </c>
      <c r="G50" s="21" t="str">
        <f t="shared" si="3"/>
        <v>Serbien</v>
      </c>
      <c r="H50" s="21" t="str">
        <f t="shared" si="2"/>
        <v>Schweiz</v>
      </c>
      <c r="I50" s="21" t="str">
        <f t="shared" si="187"/>
        <v>G</v>
      </c>
      <c r="J50" s="21">
        <f>COUNTIF($I$4:I50,I50)</f>
        <v>5</v>
      </c>
      <c r="K50" s="22" t="str">
        <f t="shared" si="5"/>
        <v>G5</v>
      </c>
      <c r="AP50" t="str">
        <f>Tippa!A83</f>
        <v>F6</v>
      </c>
      <c r="AQ50" s="4" t="str">
        <f>Tippa!C83</f>
        <v>Kroatien - Belgien</v>
      </c>
      <c r="AR50" s="4" t="str">
        <f t="shared" si="188"/>
        <v>Kroatien</v>
      </c>
      <c r="AS50" s="4" t="str">
        <f t="shared" si="192"/>
        <v>Belgien</v>
      </c>
      <c r="AT50" s="76">
        <f>Tippa!G83</f>
        <v>1</v>
      </c>
      <c r="AU50" s="76">
        <f>Tippa!H83</f>
        <v>2</v>
      </c>
      <c r="AV50" s="73">
        <f t="shared" si="190"/>
        <v>0</v>
      </c>
      <c r="AW50" s="73">
        <f t="shared" si="191"/>
        <v>3</v>
      </c>
    </row>
    <row r="51" spans="2:49" x14ac:dyDescent="0.2">
      <c r="B51" s="14" t="s">
        <v>366</v>
      </c>
      <c r="C51" s="15">
        <v>0.83333333333333337</v>
      </c>
      <c r="D51" s="16" t="s">
        <v>89</v>
      </c>
      <c r="E51" s="16" t="str">
        <f t="shared" si="185"/>
        <v>G4</v>
      </c>
      <c r="F51" s="16" t="str">
        <f t="shared" si="186"/>
        <v>G1</v>
      </c>
      <c r="G51" s="16" t="str">
        <f t="shared" si="3"/>
        <v>Kamerun</v>
      </c>
      <c r="H51" s="16" t="str">
        <f t="shared" si="2"/>
        <v>Brasilien</v>
      </c>
      <c r="I51" s="16" t="str">
        <f t="shared" si="187"/>
        <v>G</v>
      </c>
      <c r="J51" s="16">
        <f>COUNTIF($I$4:I51,I51)</f>
        <v>6</v>
      </c>
      <c r="K51" s="17" t="str">
        <f t="shared" si="5"/>
        <v>G6</v>
      </c>
      <c r="N51" s="75" t="s">
        <v>225</v>
      </c>
      <c r="O51" s="74"/>
      <c r="P51" s="74"/>
      <c r="Q51" s="74"/>
      <c r="R51" s="75" t="s">
        <v>99</v>
      </c>
      <c r="S51" s="74"/>
      <c r="T51" s="74"/>
      <c r="U51" s="75" t="s">
        <v>103</v>
      </c>
      <c r="V51" s="74"/>
      <c r="W51" s="74"/>
      <c r="X51" s="75" t="s">
        <v>106</v>
      </c>
      <c r="Y51" s="74"/>
      <c r="Z51" s="74"/>
      <c r="AA51" s="75" t="s">
        <v>269</v>
      </c>
      <c r="AB51" s="74"/>
      <c r="AC51" s="74"/>
      <c r="AV51" s="74"/>
      <c r="AW51" s="74"/>
    </row>
    <row r="52" spans="2:49" x14ac:dyDescent="0.2">
      <c r="B52" s="19"/>
      <c r="C52" s="20"/>
      <c r="D52" s="21"/>
      <c r="E52" s="21"/>
      <c r="F52" s="21"/>
      <c r="G52" s="21"/>
      <c r="H52" s="21"/>
      <c r="I52" s="21"/>
      <c r="J52" s="21"/>
      <c r="K52" s="22"/>
      <c r="N52" s="74" t="str">
        <f>G54</f>
        <v>Nederländerna</v>
      </c>
      <c r="O52" s="74" t="str">
        <f>H54</f>
        <v>USA</v>
      </c>
      <c r="P52" s="74"/>
      <c r="Q52" s="74"/>
      <c r="R52" s="74" t="str">
        <f>IF(Tippa!Q24=0,"BILDFRI",Tippa!Q24)</f>
        <v>Nederländerna</v>
      </c>
      <c r="S52" s="74" t="str">
        <f>IF(Tippa!Q28=0,"BILDFRI",Tippa!Q28)</f>
        <v>Argentina</v>
      </c>
      <c r="T52" s="74"/>
      <c r="U52" s="74" t="str">
        <f>IF(Tippa!R26=0,"BILDFRI",Tippa!R26)</f>
        <v>Argentina</v>
      </c>
      <c r="V52" s="74" t="str">
        <f>IF(Tippa!R35=0,"BILDFRI",Tippa!R35)</f>
        <v>Brasilien</v>
      </c>
      <c r="W52" s="74"/>
      <c r="X52" s="74" t="str">
        <f>IF(Tippa!S29=0,"BILDFRI",Tippa!S29)</f>
        <v>Brasilien</v>
      </c>
      <c r="Y52" s="74" t="str">
        <f>IF(Tippa!U29=0,"BILDFRI",Tippa!U29)</f>
        <v>Frankrike</v>
      </c>
      <c r="Z52" s="74">
        <v>1</v>
      </c>
      <c r="AA52" s="74" t="str">
        <f>IF(Tippa!T28=0,"BILDFRI",Tippa!T28)</f>
        <v>Brasilien</v>
      </c>
      <c r="AB52" s="74"/>
      <c r="AC52" s="74"/>
      <c r="AQ52" s="1" t="s">
        <v>213</v>
      </c>
      <c r="AR52" s="28"/>
      <c r="AS52" s="28"/>
      <c r="AT52" s="8" t="s">
        <v>3</v>
      </c>
      <c r="AV52" s="75" t="s">
        <v>181</v>
      </c>
      <c r="AW52" s="74"/>
    </row>
    <row r="53" spans="2:49" x14ac:dyDescent="0.2">
      <c r="B53" s="14" t="s">
        <v>367</v>
      </c>
      <c r="C53" s="15">
        <v>0.83333333333333337</v>
      </c>
      <c r="D53" s="16" t="s">
        <v>91</v>
      </c>
      <c r="E53" s="16" t="s">
        <v>139</v>
      </c>
      <c r="F53" s="16" t="s">
        <v>140</v>
      </c>
      <c r="G53" s="16" t="str">
        <f>INDEX($AG$4:$AG$42,MATCH(E53,$AN$4:$AN$42,0),)</f>
        <v>Argentina</v>
      </c>
      <c r="H53" s="16" t="str">
        <f>INDEX($AG$4:$AG$42,MATCH(F53,$AN$4:$AN$42,0),)</f>
        <v>Danmark</v>
      </c>
      <c r="I53" s="16"/>
      <c r="J53" s="16"/>
      <c r="K53" s="17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>
        <v>2</v>
      </c>
      <c r="AA53" s="74" t="str">
        <f>IF(AA52=X52,Y52,X52)</f>
        <v>Frankrike</v>
      </c>
      <c r="AB53" s="74"/>
      <c r="AC53" s="74"/>
      <c r="AP53" t="str">
        <f>Tippa!A89</f>
        <v>G1</v>
      </c>
      <c r="AQ53" s="2" t="str">
        <f>Tippa!C89</f>
        <v>Brasilien - Serbien</v>
      </c>
      <c r="AR53" s="2" t="str">
        <f>INDEX($G$4:$G$51,MATCH(AP53,$K$4:$K$51,0),)</f>
        <v>Brasilien</v>
      </c>
      <c r="AS53" s="2" t="str">
        <f>INDEX($H$4:$H$51,MATCH(AP53,$K$4:$K$51,0),)</f>
        <v>Serbien</v>
      </c>
      <c r="AT53" s="76">
        <f>Tippa!G89</f>
        <v>2</v>
      </c>
      <c r="AU53" s="76">
        <f>Tippa!H89</f>
        <v>1</v>
      </c>
      <c r="AV53" s="73">
        <f>IF(AT53="-",0,IF(AT53&gt;AU53,3,IF(AT53=AU53,1,0)))</f>
        <v>3</v>
      </c>
      <c r="AW53" s="73">
        <f>IF(AT53="-",0,IF(AU53&gt;AT53,3,IF(AU53=AT53,1,0)))</f>
        <v>0</v>
      </c>
    </row>
    <row r="54" spans="2:49" x14ac:dyDescent="0.2">
      <c r="B54" s="19" t="s">
        <v>367</v>
      </c>
      <c r="C54" s="20">
        <v>0.66666666666666663</v>
      </c>
      <c r="D54" s="21" t="s">
        <v>92</v>
      </c>
      <c r="E54" s="21" t="s">
        <v>141</v>
      </c>
      <c r="F54" s="21" t="s">
        <v>142</v>
      </c>
      <c r="G54" s="21" t="str">
        <f>INDEX($AG$4:$AG$42,MATCH(E54,$AN$4:$AN$42,0),)</f>
        <v>Nederländerna</v>
      </c>
      <c r="H54" s="21" t="str">
        <f>INDEX($AG$4:$AG$42,MATCH(F54,$AN$4:$AN$42,0),)</f>
        <v>USA</v>
      </c>
      <c r="I54" s="21"/>
      <c r="J54" s="21"/>
      <c r="K54" s="22"/>
      <c r="N54" s="75" t="s">
        <v>226</v>
      </c>
      <c r="O54" s="74"/>
      <c r="P54" s="74"/>
      <c r="Q54" s="74"/>
      <c r="R54" s="75" t="s">
        <v>100</v>
      </c>
      <c r="S54" s="74"/>
      <c r="T54" s="74"/>
      <c r="U54" s="74"/>
      <c r="V54" s="74"/>
      <c r="W54" s="74"/>
      <c r="X54" s="74"/>
      <c r="Y54" s="74"/>
      <c r="Z54" s="74">
        <v>3</v>
      </c>
      <c r="AA54" s="74" t="str">
        <f>IF(Tippa!T32=0,"BILDFRI",Tippa!T32)</f>
        <v>Spanien</v>
      </c>
      <c r="AB54" s="74"/>
      <c r="AC54" s="74"/>
      <c r="AP54" t="str">
        <f>Tippa!A90</f>
        <v>G2</v>
      </c>
      <c r="AQ54" s="3" t="str">
        <f>Tippa!C90</f>
        <v>Schweiz - Kamerun</v>
      </c>
      <c r="AR54" s="3" t="str">
        <f t="shared" ref="AR54:AR58" si="193">INDEX($G$4:$G$51,MATCH(AP54,$K$4:$K$51,0),)</f>
        <v>Schweiz</v>
      </c>
      <c r="AS54" s="3" t="str">
        <f t="shared" ref="AS54:AS55" si="194">INDEX($H$4:$H$51,MATCH(AP54,$K$4:$K$51,0),)</f>
        <v>Kamerun</v>
      </c>
      <c r="AT54" s="76">
        <f>Tippa!G90</f>
        <v>1</v>
      </c>
      <c r="AU54" s="76">
        <f>Tippa!H90</f>
        <v>1</v>
      </c>
      <c r="AV54" s="73">
        <f t="shared" ref="AV54:AV58" si="195">IF(AT54="-",0,IF(AT54&gt;AU54,3,IF(AT54=AU54,1,0)))</f>
        <v>1</v>
      </c>
      <c r="AW54" s="73">
        <f t="shared" ref="AW54:AW58" si="196">IF(AT54="-",0,IF(AU54&gt;AT54,3,IF(AU54=AT54,1,0)))</f>
        <v>1</v>
      </c>
    </row>
    <row r="55" spans="2:49" x14ac:dyDescent="0.2">
      <c r="B55" s="14"/>
      <c r="C55" s="15"/>
      <c r="D55" s="16"/>
      <c r="E55" s="16"/>
      <c r="F55" s="16"/>
      <c r="G55" s="16"/>
      <c r="H55" s="16"/>
      <c r="I55" s="16"/>
      <c r="J55" s="16"/>
      <c r="K55" s="17"/>
      <c r="N55" s="74" t="str">
        <f>G53</f>
        <v>Argentina</v>
      </c>
      <c r="O55" s="74" t="str">
        <f>H53</f>
        <v>Danmark</v>
      </c>
      <c r="P55" s="74"/>
      <c r="Q55" s="74"/>
      <c r="R55" s="74" t="str">
        <f>IF(Tippa!W24=0,"BILDFRI",Tippa!W24)</f>
        <v>England</v>
      </c>
      <c r="S55" s="74" t="str">
        <f>IF(Tippa!W28=0,"BILDFRI",Tippa!W28)</f>
        <v>Frankrike</v>
      </c>
      <c r="T55" s="74"/>
      <c r="U55" s="74"/>
      <c r="V55" s="74"/>
      <c r="W55" s="74"/>
      <c r="X55" s="74"/>
      <c r="Y55" s="74"/>
      <c r="Z55" s="74">
        <v>4</v>
      </c>
      <c r="AA55" s="74" t="str">
        <f>IF(AA54=X70,Y70,X70)</f>
        <v>Argentina</v>
      </c>
      <c r="AB55" s="74"/>
      <c r="AC55" s="74"/>
      <c r="AP55" t="str">
        <f>Tippa!A91</f>
        <v>G3</v>
      </c>
      <c r="AQ55" s="3" t="str">
        <f>Tippa!C91</f>
        <v>Kamerun - Serbien</v>
      </c>
      <c r="AR55" s="3" t="str">
        <f t="shared" si="193"/>
        <v>Kamerun</v>
      </c>
      <c r="AS55" s="3" t="str">
        <f t="shared" si="194"/>
        <v>Serbien</v>
      </c>
      <c r="AT55" s="76">
        <f>Tippa!G91</f>
        <v>1</v>
      </c>
      <c r="AU55" s="76">
        <f>Tippa!H91</f>
        <v>0</v>
      </c>
      <c r="AV55" s="73">
        <f t="shared" si="195"/>
        <v>3</v>
      </c>
      <c r="AW55" s="73">
        <f t="shared" si="196"/>
        <v>0</v>
      </c>
    </row>
    <row r="56" spans="2:49" x14ac:dyDescent="0.2">
      <c r="B56" s="19" t="s">
        <v>368</v>
      </c>
      <c r="C56" s="20">
        <v>0.83333333333333337</v>
      </c>
      <c r="D56" s="21" t="s">
        <v>93</v>
      </c>
      <c r="E56" s="21" t="s">
        <v>143</v>
      </c>
      <c r="F56" s="21" t="s">
        <v>144</v>
      </c>
      <c r="G56" s="21" t="str">
        <f>INDEX($AG$4:$AG$42,MATCH(E56,$AN$4:$AN$42,0),)</f>
        <v>England</v>
      </c>
      <c r="H56" s="21" t="str">
        <f>INDEX($AG$4:$AG$42,MATCH(F56,$AN$4:$AN$42,0),)</f>
        <v>Senegal</v>
      </c>
      <c r="I56" s="21"/>
      <c r="J56" s="21"/>
      <c r="K56" s="2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P56" t="str">
        <f>Tippa!A92</f>
        <v>G4</v>
      </c>
      <c r="AQ56" s="3" t="str">
        <f>Tippa!C92</f>
        <v>Brasilien - Schweiz</v>
      </c>
      <c r="AR56" s="3" t="str">
        <f t="shared" si="193"/>
        <v>Brasilien</v>
      </c>
      <c r="AS56" s="3" t="str">
        <f>INDEX($H$4:$H$51,MATCH(AP56,$K$4:$K$51,0),)</f>
        <v>Schweiz</v>
      </c>
      <c r="AT56" s="76">
        <f>Tippa!G92</f>
        <v>4</v>
      </c>
      <c r="AU56" s="76">
        <f>Tippa!H92</f>
        <v>0</v>
      </c>
      <c r="AV56" s="73">
        <f t="shared" si="195"/>
        <v>3</v>
      </c>
      <c r="AW56" s="73">
        <f t="shared" si="196"/>
        <v>0</v>
      </c>
    </row>
    <row r="57" spans="2:49" x14ac:dyDescent="0.2">
      <c r="B57" s="14" t="s">
        <v>368</v>
      </c>
      <c r="C57" s="15">
        <v>0.66666666666666663</v>
      </c>
      <c r="D57" s="16" t="s">
        <v>94</v>
      </c>
      <c r="E57" s="16" t="s">
        <v>145</v>
      </c>
      <c r="F57" s="16" t="s">
        <v>146</v>
      </c>
      <c r="G57" s="16" t="str">
        <f>INDEX($AG$4:$AG$42,MATCH(E57,$AN$4:$AN$42,0),)</f>
        <v>Frankrike</v>
      </c>
      <c r="H57" s="16" t="str">
        <f>INDEX($AG$4:$AG$42,MATCH(F57,$AN$4:$AN$42,0),)</f>
        <v>Mexiko</v>
      </c>
      <c r="I57" s="16"/>
      <c r="J57" s="16"/>
      <c r="K57" s="17"/>
      <c r="N57" s="75" t="s">
        <v>227</v>
      </c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P57" t="str">
        <f>Tippa!A93</f>
        <v>G5</v>
      </c>
      <c r="AQ57" s="3" t="str">
        <f>Tippa!C93</f>
        <v>Serbien - Schweiz</v>
      </c>
      <c r="AR57" s="3" t="str">
        <f t="shared" si="193"/>
        <v>Serbien</v>
      </c>
      <c r="AS57" s="3" t="str">
        <f t="shared" ref="AS57:AS58" si="197">INDEX($H$4:$H$51,MATCH(AP57,$K$4:$K$51,0),)</f>
        <v>Schweiz</v>
      </c>
      <c r="AT57" s="76">
        <f>Tippa!G93</f>
        <v>1</v>
      </c>
      <c r="AU57" s="76">
        <f>Tippa!H93</f>
        <v>1</v>
      </c>
      <c r="AV57" s="73">
        <f t="shared" si="195"/>
        <v>1</v>
      </c>
      <c r="AW57" s="73">
        <f t="shared" si="196"/>
        <v>1</v>
      </c>
    </row>
    <row r="58" spans="2:49" x14ac:dyDescent="0.2">
      <c r="B58" s="19"/>
      <c r="C58" s="20"/>
      <c r="D58" s="21"/>
      <c r="E58" s="21"/>
      <c r="F58" s="21"/>
      <c r="G58" s="21"/>
      <c r="H58" s="21"/>
      <c r="I58" s="21"/>
      <c r="J58" s="21"/>
      <c r="K58" s="22"/>
      <c r="N58" s="74" t="str">
        <f>G56</f>
        <v>England</v>
      </c>
      <c r="O58" s="74" t="str">
        <f>H56</f>
        <v>Senegal</v>
      </c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P58" t="str">
        <f>Tippa!A94</f>
        <v>G6</v>
      </c>
      <c r="AQ58" s="4" t="str">
        <f>Tippa!C94</f>
        <v>Kamerun - Brasilien</v>
      </c>
      <c r="AR58" s="4" t="str">
        <f t="shared" si="193"/>
        <v>Kamerun</v>
      </c>
      <c r="AS58" s="4" t="str">
        <f t="shared" si="197"/>
        <v>Brasilien</v>
      </c>
      <c r="AT58" s="76">
        <f>Tippa!G94</f>
        <v>1</v>
      </c>
      <c r="AU58" s="76">
        <f>Tippa!H94</f>
        <v>2</v>
      </c>
      <c r="AV58" s="73">
        <f t="shared" si="195"/>
        <v>0</v>
      </c>
      <c r="AW58" s="73">
        <f t="shared" si="196"/>
        <v>3</v>
      </c>
    </row>
    <row r="59" spans="2:49" x14ac:dyDescent="0.2">
      <c r="B59" s="14" t="s">
        <v>369</v>
      </c>
      <c r="C59" s="15">
        <v>0.66666666666666663</v>
      </c>
      <c r="D59" s="16" t="s">
        <v>95</v>
      </c>
      <c r="E59" s="16" t="s">
        <v>147</v>
      </c>
      <c r="F59" s="16" t="s">
        <v>150</v>
      </c>
      <c r="G59" s="16" t="str">
        <f>INDEX($AG$4:$AG$42,MATCH(E59,$AN$4:$AN$42,0),)</f>
        <v>Tyskland</v>
      </c>
      <c r="H59" s="16" t="str">
        <f>INDEX($AG$4:$AG$42,MATCH(F59,$AN$4:$AN$42,0),)</f>
        <v>Kroatien</v>
      </c>
      <c r="I59" s="16"/>
      <c r="J59" s="16"/>
      <c r="K59" s="17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V59" s="74"/>
      <c r="AW59" s="74"/>
    </row>
    <row r="60" spans="2:49" x14ac:dyDescent="0.2">
      <c r="B60" s="19" t="s">
        <v>369</v>
      </c>
      <c r="C60" s="20">
        <v>0.83333333333333337</v>
      </c>
      <c r="D60" s="21" t="s">
        <v>96</v>
      </c>
      <c r="E60" s="21" t="s">
        <v>148</v>
      </c>
      <c r="F60" s="21" t="s">
        <v>151</v>
      </c>
      <c r="G60" s="21" t="str">
        <f>INDEX($AG$4:$AG$42,MATCH(E60,$AN$4:$AN$42,0),)</f>
        <v>Brasilien</v>
      </c>
      <c r="H60" s="21" t="str">
        <f>INDEX($AG$4:$AG$42,MATCH(F60,$AN$4:$AN$42,0),)</f>
        <v>Uruguay</v>
      </c>
      <c r="I60" s="21"/>
      <c r="J60" s="21"/>
      <c r="K60" s="22"/>
      <c r="N60" s="75" t="s">
        <v>228</v>
      </c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Q60" s="1" t="s">
        <v>157</v>
      </c>
      <c r="AR60" s="28"/>
      <c r="AS60" s="28"/>
      <c r="AT60" s="8" t="s">
        <v>3</v>
      </c>
      <c r="AV60" s="75" t="s">
        <v>181</v>
      </c>
      <c r="AW60" s="74"/>
    </row>
    <row r="61" spans="2:49" x14ac:dyDescent="0.2">
      <c r="B61" s="14"/>
      <c r="C61" s="15"/>
      <c r="D61" s="16"/>
      <c r="E61" s="16"/>
      <c r="F61" s="16"/>
      <c r="G61" s="16"/>
      <c r="H61" s="16"/>
      <c r="I61" s="16"/>
      <c r="J61" s="16"/>
      <c r="K61" s="17"/>
      <c r="N61" s="74" t="str">
        <f>G57</f>
        <v>Frankrike</v>
      </c>
      <c r="O61" s="74" t="str">
        <f>H57</f>
        <v>Mexiko</v>
      </c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P61" t="str">
        <f>Tippa!A100</f>
        <v>H1</v>
      </c>
      <c r="AQ61" s="2" t="str">
        <f>Tippa!C100</f>
        <v>Portugal - Ghana</v>
      </c>
      <c r="AR61" s="2" t="str">
        <f>INDEX($G$4:$G$51,MATCH(AP61,$K$4:$K$51,0),)</f>
        <v>Portugal</v>
      </c>
      <c r="AS61" s="2" t="str">
        <f>INDEX($H$4:$H$51,MATCH(AP61,$K$4:$K$51,0),)</f>
        <v>Ghana</v>
      </c>
      <c r="AT61" s="76">
        <f>Tippa!G100</f>
        <v>3</v>
      </c>
      <c r="AU61" s="76">
        <f>Tippa!H100</f>
        <v>0</v>
      </c>
      <c r="AV61" s="73">
        <f>IF(AT61="-",0,IF(AT61&gt;AU61,3,IF(AT61=AU61,1,0)))</f>
        <v>3</v>
      </c>
      <c r="AW61" s="73">
        <f>IF(AT61="-",0,IF(AU61&gt;AT61,3,IF(AU61=AT61,1,0)))</f>
        <v>0</v>
      </c>
    </row>
    <row r="62" spans="2:49" x14ac:dyDescent="0.2">
      <c r="B62" s="19" t="s">
        <v>370</v>
      </c>
      <c r="C62" s="20">
        <v>0.66666666666666663</v>
      </c>
      <c r="D62" s="21" t="s">
        <v>97</v>
      </c>
      <c r="E62" s="21" t="s">
        <v>233</v>
      </c>
      <c r="F62" s="21" t="s">
        <v>152</v>
      </c>
      <c r="G62" s="21" t="str">
        <f>INDEX($AG$4:$AG$42,MATCH(E62,$AN$4:$AN$42,0),)</f>
        <v>Belgien</v>
      </c>
      <c r="H62" s="21" t="str">
        <f>INDEX($AG$4:$AG$42,MATCH(F62,$AN$4:$AN$42,0),)</f>
        <v>Spanien</v>
      </c>
      <c r="I62" s="21"/>
      <c r="J62" s="21"/>
      <c r="K62" s="22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P62" t="str">
        <f>Tippa!A101</f>
        <v>H2</v>
      </c>
      <c r="AQ62" s="3" t="str">
        <f>Tippa!C101</f>
        <v>Uruguay - Sydkorea</v>
      </c>
      <c r="AR62" s="3" t="str">
        <f t="shared" ref="AR62:AR66" si="198">INDEX($G$4:$G$51,MATCH(AP62,$K$4:$K$51,0),)</f>
        <v>Uruguay</v>
      </c>
      <c r="AS62" s="3" t="str">
        <f t="shared" ref="AS62:AS63" si="199">INDEX($H$4:$H$51,MATCH(AP62,$K$4:$K$51,0),)</f>
        <v>Sydkorea</v>
      </c>
      <c r="AT62" s="76">
        <f>Tippa!G101</f>
        <v>2</v>
      </c>
      <c r="AU62" s="76">
        <f>Tippa!H101</f>
        <v>0</v>
      </c>
      <c r="AV62" s="73">
        <f t="shared" ref="AV62:AV66" si="200">IF(AT62="-",0,IF(AT62&gt;AU62,3,IF(AT62=AU62,1,0)))</f>
        <v>3</v>
      </c>
      <c r="AW62" s="73">
        <f t="shared" ref="AW62:AW66" si="201">IF(AT62="-",0,IF(AU62&gt;AT62,3,IF(AU62=AT62,1,0)))</f>
        <v>0</v>
      </c>
    </row>
    <row r="63" spans="2:49" x14ac:dyDescent="0.2">
      <c r="B63" s="14" t="s">
        <v>370</v>
      </c>
      <c r="C63" s="15">
        <v>0.83333333333333337</v>
      </c>
      <c r="D63" s="16" t="s">
        <v>98</v>
      </c>
      <c r="E63" s="16" t="s">
        <v>149</v>
      </c>
      <c r="F63" s="16" t="s">
        <v>153</v>
      </c>
      <c r="G63" s="16" t="str">
        <f>INDEX($AG$4:$AG$42,MATCH(E63,$AN$4:$AN$42,0),)</f>
        <v>Portugal</v>
      </c>
      <c r="H63" s="16" t="str">
        <f>INDEX($AG$4:$AG$42,MATCH(F63,$AN$4:$AN$42,0),)</f>
        <v>Kamerun</v>
      </c>
      <c r="I63" s="16"/>
      <c r="J63" s="16"/>
      <c r="K63" s="17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P63" t="str">
        <f>Tippa!A102</f>
        <v>H3</v>
      </c>
      <c r="AQ63" s="3" t="str">
        <f>Tippa!C102</f>
        <v>Portugal - Uruguay</v>
      </c>
      <c r="AR63" s="3" t="str">
        <f t="shared" si="198"/>
        <v>Portugal</v>
      </c>
      <c r="AS63" s="3" t="str">
        <f t="shared" si="199"/>
        <v>Uruguay</v>
      </c>
      <c r="AT63" s="76">
        <f>Tippa!G102</f>
        <v>1</v>
      </c>
      <c r="AU63" s="76">
        <f>Tippa!H102</f>
        <v>1</v>
      </c>
      <c r="AV63" s="73">
        <f t="shared" si="200"/>
        <v>1</v>
      </c>
      <c r="AW63" s="73">
        <f t="shared" si="201"/>
        <v>1</v>
      </c>
    </row>
    <row r="64" spans="2:49" x14ac:dyDescent="0.2">
      <c r="B64" s="19"/>
      <c r="C64" s="20"/>
      <c r="D64" s="21"/>
      <c r="E64" s="21"/>
      <c r="F64" s="21"/>
      <c r="G64" s="21"/>
      <c r="H64" s="21"/>
      <c r="I64" s="21"/>
      <c r="J64" s="21"/>
      <c r="K64" s="22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P64" t="str">
        <f>Tippa!A103</f>
        <v>H4</v>
      </c>
      <c r="AQ64" s="3" t="str">
        <f>Tippa!C103</f>
        <v>Sydkorea - Ghana</v>
      </c>
      <c r="AR64" s="3" t="str">
        <f t="shared" si="198"/>
        <v>Sydkorea</v>
      </c>
      <c r="AS64" s="3" t="str">
        <f>INDEX($H$4:$H$51,MATCH(AP64,$K$4:$K$51,0),)</f>
        <v>Ghana</v>
      </c>
      <c r="AT64" s="76">
        <f>Tippa!G103</f>
        <v>0</v>
      </c>
      <c r="AU64" s="76">
        <f>Tippa!H103</f>
        <v>1</v>
      </c>
      <c r="AV64" s="73">
        <f t="shared" si="200"/>
        <v>0</v>
      </c>
      <c r="AW64" s="73">
        <f t="shared" si="201"/>
        <v>3</v>
      </c>
    </row>
    <row r="65" spans="2:49" x14ac:dyDescent="0.2">
      <c r="B65" s="14" t="s">
        <v>371</v>
      </c>
      <c r="C65" s="15">
        <v>0.66666666666666663</v>
      </c>
      <c r="D65" s="16" t="s">
        <v>99</v>
      </c>
      <c r="E65" s="16"/>
      <c r="F65" s="16"/>
      <c r="G65" s="16"/>
      <c r="H65" s="16"/>
      <c r="I65" s="16"/>
      <c r="J65" s="16"/>
      <c r="K65" s="17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P65" t="str">
        <f>Tippa!A104</f>
        <v>H5</v>
      </c>
      <c r="AQ65" s="3" t="str">
        <f>Tippa!C104</f>
        <v>Ghana - Uruguay</v>
      </c>
      <c r="AR65" s="3" t="str">
        <f t="shared" si="198"/>
        <v>Ghana</v>
      </c>
      <c r="AS65" s="3" t="str">
        <f t="shared" ref="AS65:AS66" si="202">INDEX($H$4:$H$51,MATCH(AP65,$K$4:$K$51,0),)</f>
        <v>Uruguay</v>
      </c>
      <c r="AT65" s="76">
        <f>Tippa!G104</f>
        <v>0</v>
      </c>
      <c r="AU65" s="76">
        <f>Tippa!H104</f>
        <v>2</v>
      </c>
      <c r="AV65" s="73">
        <f t="shared" si="200"/>
        <v>0</v>
      </c>
      <c r="AW65" s="73">
        <f t="shared" si="201"/>
        <v>3</v>
      </c>
    </row>
    <row r="66" spans="2:49" x14ac:dyDescent="0.2">
      <c r="B66" s="19" t="s">
        <v>371</v>
      </c>
      <c r="C66" s="20">
        <v>0.83333333333333337</v>
      </c>
      <c r="D66" s="21" t="s">
        <v>100</v>
      </c>
      <c r="E66" s="21"/>
      <c r="F66" s="21"/>
      <c r="G66" s="21"/>
      <c r="H66" s="21"/>
      <c r="I66" s="21"/>
      <c r="J66" s="21"/>
      <c r="K66" s="22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P66" t="str">
        <f>Tippa!A105</f>
        <v>H6</v>
      </c>
      <c r="AQ66" s="4" t="str">
        <f>Tippa!C105</f>
        <v>Sydkorea - Portugal</v>
      </c>
      <c r="AR66" s="4" t="str">
        <f t="shared" si="198"/>
        <v>Sydkorea</v>
      </c>
      <c r="AS66" s="4" t="str">
        <f t="shared" si="202"/>
        <v>Portugal</v>
      </c>
      <c r="AT66" s="76">
        <f>Tippa!G105</f>
        <v>0</v>
      </c>
      <c r="AU66" s="76">
        <f>Tippa!H105</f>
        <v>2</v>
      </c>
      <c r="AV66" s="73">
        <f t="shared" si="200"/>
        <v>0</v>
      </c>
      <c r="AW66" s="73">
        <f t="shared" si="201"/>
        <v>3</v>
      </c>
    </row>
    <row r="67" spans="2:49" x14ac:dyDescent="0.2">
      <c r="B67" s="14"/>
      <c r="C67" s="15"/>
      <c r="D67" s="16"/>
      <c r="E67" s="16"/>
      <c r="F67" s="16"/>
      <c r="G67" s="16"/>
      <c r="H67" s="16"/>
      <c r="I67" s="16"/>
      <c r="J67" s="16"/>
      <c r="K67" s="17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</row>
    <row r="68" spans="2:49" x14ac:dyDescent="0.2">
      <c r="B68" s="19" t="s">
        <v>372</v>
      </c>
      <c r="C68" s="20">
        <v>0.66666666666666663</v>
      </c>
      <c r="D68" s="21" t="s">
        <v>101</v>
      </c>
      <c r="E68" s="21"/>
      <c r="F68" s="21"/>
      <c r="G68" s="21"/>
      <c r="H68" s="21"/>
      <c r="I68" s="21"/>
      <c r="J68" s="21"/>
      <c r="K68" s="22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</row>
    <row r="69" spans="2:49" x14ac:dyDescent="0.2">
      <c r="B69" s="14" t="s">
        <v>372</v>
      </c>
      <c r="C69" s="15">
        <v>0.83333333333333337</v>
      </c>
      <c r="D69" s="16" t="s">
        <v>102</v>
      </c>
      <c r="E69" s="16"/>
      <c r="F69" s="16"/>
      <c r="G69" s="16"/>
      <c r="H69" s="16"/>
      <c r="I69" s="16"/>
      <c r="J69" s="16"/>
      <c r="K69" s="17"/>
      <c r="N69" s="75" t="s">
        <v>229</v>
      </c>
      <c r="O69" s="74"/>
      <c r="P69" s="74"/>
      <c r="Q69" s="74"/>
      <c r="R69" s="75" t="s">
        <v>101</v>
      </c>
      <c r="S69" s="74"/>
      <c r="T69" s="74"/>
      <c r="U69" s="75" t="s">
        <v>104</v>
      </c>
      <c r="V69" s="74"/>
      <c r="W69" s="74"/>
      <c r="X69" s="75" t="s">
        <v>105</v>
      </c>
      <c r="Y69" s="74"/>
      <c r="Z69" s="74"/>
      <c r="AA69" s="74"/>
      <c r="AB69" s="74"/>
      <c r="AC69" s="74"/>
    </row>
    <row r="70" spans="2:49" x14ac:dyDescent="0.2">
      <c r="B70" s="19"/>
      <c r="C70" s="20"/>
      <c r="D70" s="21"/>
      <c r="E70" s="21"/>
      <c r="F70" s="21"/>
      <c r="G70" s="21"/>
      <c r="H70" s="21"/>
      <c r="I70" s="21"/>
      <c r="J70" s="21"/>
      <c r="K70" s="22"/>
      <c r="N70" s="74" t="str">
        <f>G59</f>
        <v>Tyskland</v>
      </c>
      <c r="O70" s="74" t="str">
        <f>H59</f>
        <v>Kroatien</v>
      </c>
      <c r="P70" s="74"/>
      <c r="Q70" s="74"/>
      <c r="R70" s="74" t="str">
        <f>IF(Tippa!Q33=0,"BILDFRI",Tippa!Q33)</f>
        <v>Tyskland</v>
      </c>
      <c r="S70" s="74" t="str">
        <f>IF(Tippa!Q37=0,"BILDFRI",Tippa!Q37)</f>
        <v>Brasilien</v>
      </c>
      <c r="T70" s="74"/>
      <c r="U70" s="74" t="str">
        <f>IF(Tippa!V26=0,"BILDFRI",Tippa!V26)</f>
        <v>Frankrike</v>
      </c>
      <c r="V70" s="74" t="str">
        <f>IF(Tippa!V35=0,"BILDFRI",Tippa!V35)</f>
        <v>Spanien</v>
      </c>
      <c r="W70" s="74"/>
      <c r="X70" s="74" t="str">
        <f>IF(X52=U52,V52,U52)</f>
        <v>Argentina</v>
      </c>
      <c r="Y70" s="74" t="str">
        <f>IF(Y52=U70,V70,U70)</f>
        <v>Spanien</v>
      </c>
      <c r="Z70" s="74"/>
      <c r="AA70" s="74"/>
      <c r="AB70" s="74"/>
      <c r="AC70" s="74"/>
    </row>
    <row r="71" spans="2:49" x14ac:dyDescent="0.2">
      <c r="B71" s="14" t="s">
        <v>373</v>
      </c>
      <c r="C71" s="15">
        <v>0.83333333333333337</v>
      </c>
      <c r="D71" s="16" t="s">
        <v>103</v>
      </c>
      <c r="E71" s="16"/>
      <c r="F71" s="16"/>
      <c r="G71" s="16"/>
      <c r="H71" s="16"/>
      <c r="I71" s="16"/>
      <c r="J71" s="16"/>
      <c r="K71" s="17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</row>
    <row r="72" spans="2:49" x14ac:dyDescent="0.2">
      <c r="B72" s="19"/>
      <c r="C72" s="20"/>
      <c r="D72" s="21"/>
      <c r="E72" s="21"/>
      <c r="F72" s="21"/>
      <c r="G72" s="21"/>
      <c r="H72" s="21"/>
      <c r="I72" s="21"/>
      <c r="J72" s="21"/>
      <c r="K72" s="22"/>
      <c r="N72" s="75" t="s">
        <v>230</v>
      </c>
      <c r="O72" s="74"/>
      <c r="P72" s="74"/>
      <c r="Q72" s="74"/>
      <c r="R72" s="75" t="s">
        <v>102</v>
      </c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</row>
    <row r="73" spans="2:49" x14ac:dyDescent="0.2">
      <c r="B73" s="14" t="s">
        <v>374</v>
      </c>
      <c r="C73" s="15">
        <v>0.83333333333333337</v>
      </c>
      <c r="D73" s="16" t="s">
        <v>104</v>
      </c>
      <c r="E73" s="16"/>
      <c r="F73" s="16"/>
      <c r="G73" s="16"/>
      <c r="H73" s="16"/>
      <c r="I73" s="16"/>
      <c r="J73" s="16"/>
      <c r="K73" s="17"/>
      <c r="N73" s="74" t="str">
        <f>G60</f>
        <v>Brasilien</v>
      </c>
      <c r="O73" s="74" t="str">
        <f>H60</f>
        <v>Uruguay</v>
      </c>
      <c r="P73" s="74"/>
      <c r="Q73" s="74"/>
      <c r="R73" s="74" t="str">
        <f>IF(Tippa!W33=0,"BILDFRI",Tippa!W33)</f>
        <v>Spanien</v>
      </c>
      <c r="S73" s="74" t="str">
        <f>IF(Tippa!W37=0,"BILDFRI",Tippa!W37)</f>
        <v>Portugal</v>
      </c>
      <c r="T73" s="74"/>
      <c r="U73" s="74"/>
      <c r="V73" s="74"/>
      <c r="W73" s="74"/>
      <c r="X73" s="74"/>
      <c r="Y73" s="74"/>
      <c r="Z73" s="74"/>
      <c r="AA73" s="74"/>
      <c r="AB73" s="74"/>
      <c r="AC73" s="74"/>
    </row>
    <row r="74" spans="2:49" x14ac:dyDescent="0.2">
      <c r="B74" s="19"/>
      <c r="C74" s="20"/>
      <c r="D74" s="21"/>
      <c r="E74" s="21"/>
      <c r="F74" s="21"/>
      <c r="G74" s="21"/>
      <c r="H74" s="21"/>
      <c r="I74" s="21"/>
      <c r="J74" s="21"/>
      <c r="K74" s="22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</row>
    <row r="75" spans="2:49" x14ac:dyDescent="0.2">
      <c r="B75" s="14" t="s">
        <v>375</v>
      </c>
      <c r="C75" s="15">
        <v>0.66666666666666663</v>
      </c>
      <c r="D75" s="16" t="s">
        <v>105</v>
      </c>
      <c r="E75" s="16"/>
      <c r="F75" s="16"/>
      <c r="G75" s="16"/>
      <c r="H75" s="16"/>
      <c r="I75" s="16"/>
      <c r="J75" s="16"/>
      <c r="K75" s="17"/>
      <c r="N75" s="75" t="s">
        <v>231</v>
      </c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</row>
    <row r="76" spans="2:49" x14ac:dyDescent="0.2">
      <c r="B76" s="19"/>
      <c r="C76" s="20"/>
      <c r="D76" s="21"/>
      <c r="E76" s="21"/>
      <c r="F76" s="21"/>
      <c r="G76" s="21"/>
      <c r="H76" s="21"/>
      <c r="I76" s="21"/>
      <c r="J76" s="21"/>
      <c r="K76" s="22"/>
      <c r="N76" s="74" t="str">
        <f>G62</f>
        <v>Belgien</v>
      </c>
      <c r="O76" s="74" t="str">
        <f>H62</f>
        <v>Spanien</v>
      </c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</row>
    <row r="77" spans="2:49" x14ac:dyDescent="0.2">
      <c r="B77" s="14" t="s">
        <v>376</v>
      </c>
      <c r="C77" s="15">
        <v>0.66666666666666663</v>
      </c>
      <c r="D77" s="16" t="s">
        <v>106</v>
      </c>
      <c r="E77" s="16"/>
      <c r="F77" s="16"/>
      <c r="G77" s="16"/>
      <c r="H77" s="16"/>
      <c r="I77" s="16"/>
      <c r="J77" s="16"/>
      <c r="K77" s="17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</row>
    <row r="78" spans="2:49" x14ac:dyDescent="0.2">
      <c r="B78" s="19"/>
      <c r="C78" s="20"/>
      <c r="D78" s="21"/>
      <c r="E78" s="21"/>
      <c r="F78" s="21"/>
      <c r="G78" s="21"/>
      <c r="H78" s="21"/>
      <c r="I78" s="21"/>
      <c r="J78" s="21"/>
      <c r="K78" s="22"/>
      <c r="N78" s="75" t="s">
        <v>232</v>
      </c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</row>
    <row r="79" spans="2:49" x14ac:dyDescent="0.2">
      <c r="B79" s="14"/>
      <c r="C79" s="15"/>
      <c r="D79" s="16"/>
      <c r="E79" s="16"/>
      <c r="F79" s="16"/>
      <c r="G79" s="16"/>
      <c r="H79" s="16"/>
      <c r="I79" s="16"/>
      <c r="J79" s="16"/>
      <c r="K79" s="17"/>
      <c r="N79" s="74" t="str">
        <f>G63</f>
        <v>Portugal</v>
      </c>
      <c r="O79" s="74" t="str">
        <f>H63</f>
        <v>Kamerun</v>
      </c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</row>
    <row r="80" spans="2:49" ht="13.5" thickBot="1" x14ac:dyDescent="0.25">
      <c r="B80" s="24"/>
      <c r="C80" s="25"/>
      <c r="D80" s="26"/>
      <c r="E80" s="26"/>
      <c r="F80" s="26"/>
      <c r="G80" s="26"/>
      <c r="H80" s="26"/>
      <c r="I80" s="26"/>
      <c r="J80" s="26"/>
      <c r="K80" s="27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</row>
    <row r="82" spans="4:21" x14ac:dyDescent="0.2">
      <c r="D82" t="s">
        <v>250</v>
      </c>
      <c r="L82" s="129" t="s">
        <v>271</v>
      </c>
      <c r="M82" s="129"/>
      <c r="N82" s="129"/>
      <c r="O82" s="129"/>
      <c r="P82" s="129"/>
      <c r="Q82" s="129"/>
      <c r="R82" s="129"/>
    </row>
    <row r="83" spans="4:21" x14ac:dyDescent="0.2">
      <c r="D83" s="89" t="s">
        <v>15</v>
      </c>
      <c r="L83" s="8" t="s">
        <v>268</v>
      </c>
      <c r="N83" s="8" t="s">
        <v>266</v>
      </c>
      <c r="O83" t="s">
        <v>221</v>
      </c>
      <c r="P83" s="8" t="s">
        <v>267</v>
      </c>
      <c r="Q83" t="s">
        <v>221</v>
      </c>
      <c r="R83" s="8" t="s">
        <v>269</v>
      </c>
      <c r="S83" t="s">
        <v>221</v>
      </c>
    </row>
    <row r="84" spans="4:21" x14ac:dyDescent="0.2">
      <c r="D84" s="84" t="s">
        <v>173</v>
      </c>
      <c r="L84" s="92" t="s">
        <v>13</v>
      </c>
      <c r="N84" s="92" t="s">
        <v>13</v>
      </c>
      <c r="P84" s="92" t="s">
        <v>13</v>
      </c>
      <c r="R84" s="92" t="s">
        <v>13</v>
      </c>
      <c r="U84" s="130">
        <f>IF(SUM(O85:O92)=8,0,SUM(O85:O92,Q85:Q92,S85:S96))</f>
        <v>0</v>
      </c>
    </row>
    <row r="85" spans="4:21" x14ac:dyDescent="0.2">
      <c r="D85" s="85" t="s">
        <v>204</v>
      </c>
      <c r="L85" s="92" t="str">
        <f>N52</f>
        <v>Nederländerna</v>
      </c>
      <c r="N85" s="92" t="str">
        <f>R52</f>
        <v>Nederländerna</v>
      </c>
      <c r="O85">
        <f>IFERROR(IF(MATCH(N85,$L$85:$L$100,0)&gt;0,0,1),1)</f>
        <v>0</v>
      </c>
      <c r="P85" s="92" t="str">
        <f>U52</f>
        <v>Argentina</v>
      </c>
      <c r="Q85">
        <f>IFERROR(IF(MATCH(P85,$L$85:$L$100,0)&gt;0,0,1),1)</f>
        <v>0</v>
      </c>
      <c r="R85" s="93" t="str">
        <f>AA52</f>
        <v>Brasilien</v>
      </c>
      <c r="S85">
        <f>IFERROR(IF(MATCH(R85,$P$85:$P$88,0)&gt;0,0,1),1)</f>
        <v>0</v>
      </c>
    </row>
    <row r="86" spans="4:21" x14ac:dyDescent="0.2">
      <c r="D86" s="85" t="s">
        <v>27</v>
      </c>
      <c r="L86" s="92" t="str">
        <f>O52</f>
        <v>USA</v>
      </c>
      <c r="N86" s="92" t="str">
        <f>S52</f>
        <v>Argentina</v>
      </c>
      <c r="O86">
        <f t="shared" ref="O86:O92" si="203">IFERROR(IF(MATCH(N86,$L$85:$L$100,0)&gt;0,0,1),1)</f>
        <v>0</v>
      </c>
      <c r="P86" s="92" t="str">
        <f>V52</f>
        <v>Brasilien</v>
      </c>
      <c r="Q86">
        <f t="shared" ref="Q86:Q88" si="204">IFERROR(IF(MATCH(P86,$L$85:$L$100,0)&gt;0,0,1),1)</f>
        <v>0</v>
      </c>
      <c r="R86" s="93" t="str">
        <f t="shared" ref="R86:R88" si="205">AA53</f>
        <v>Frankrike</v>
      </c>
      <c r="S86">
        <f t="shared" ref="S86:S88" si="206">IFERROR(IF(MATCH(R86,$P$85:$P$88,0)&gt;0,0,1),1)</f>
        <v>0</v>
      </c>
    </row>
    <row r="87" spans="4:21" x14ac:dyDescent="0.2">
      <c r="D87" s="85" t="s">
        <v>172</v>
      </c>
      <c r="L87" s="92" t="str">
        <f>N55</f>
        <v>Argentina</v>
      </c>
      <c r="N87" s="92" t="str">
        <f>R55</f>
        <v>England</v>
      </c>
      <c r="O87">
        <f t="shared" si="203"/>
        <v>0</v>
      </c>
      <c r="P87" s="92" t="str">
        <f>U70</f>
        <v>Frankrike</v>
      </c>
      <c r="Q87">
        <f t="shared" si="204"/>
        <v>0</v>
      </c>
      <c r="R87" s="92" t="str">
        <f t="shared" si="205"/>
        <v>Spanien</v>
      </c>
      <c r="S87">
        <f t="shared" si="206"/>
        <v>0</v>
      </c>
    </row>
    <row r="88" spans="4:21" x14ac:dyDescent="0.2">
      <c r="D88" s="85" t="s">
        <v>348</v>
      </c>
      <c r="L88" s="92" t="str">
        <f>O55</f>
        <v>Danmark</v>
      </c>
      <c r="N88" s="92" t="str">
        <f>S55</f>
        <v>Frankrike</v>
      </c>
      <c r="O88">
        <f t="shared" si="203"/>
        <v>0</v>
      </c>
      <c r="P88" s="92" t="str">
        <f>V70</f>
        <v>Spanien</v>
      </c>
      <c r="Q88">
        <f t="shared" si="204"/>
        <v>0</v>
      </c>
      <c r="R88" s="92" t="str">
        <f t="shared" si="205"/>
        <v>Argentina</v>
      </c>
      <c r="S88">
        <f t="shared" si="206"/>
        <v>0</v>
      </c>
    </row>
    <row r="89" spans="4:21" x14ac:dyDescent="0.2">
      <c r="D89" s="85" t="s">
        <v>205</v>
      </c>
      <c r="L89" s="92" t="str">
        <f>N58</f>
        <v>England</v>
      </c>
      <c r="N89" s="92" t="str">
        <f>R70</f>
        <v>Tyskland</v>
      </c>
      <c r="O89">
        <f t="shared" si="203"/>
        <v>0</v>
      </c>
      <c r="Q89">
        <f>IFERROR(IF(MATCH(P85,$N$85:$N$92,0)&gt;0,0,1),1)</f>
        <v>0</v>
      </c>
      <c r="S89">
        <f>IFERROR(IF(MATCH(R85,$N$85:$N$92,0)&gt;0,0,1),1)</f>
        <v>0</v>
      </c>
    </row>
    <row r="90" spans="4:21" x14ac:dyDescent="0.2">
      <c r="D90" s="85" t="s">
        <v>344</v>
      </c>
      <c r="L90" s="92" t="str">
        <f>O58</f>
        <v>Senegal</v>
      </c>
      <c r="N90" s="92" t="str">
        <f>S70</f>
        <v>Brasilien</v>
      </c>
      <c r="O90">
        <f t="shared" si="203"/>
        <v>0</v>
      </c>
      <c r="Q90">
        <f t="shared" ref="Q90:Q92" si="207">IFERROR(IF(MATCH(P86,$N$85:$N$92,0)&gt;0,0,1),1)</f>
        <v>0</v>
      </c>
      <c r="S90">
        <f t="shared" ref="S90:S92" si="208">IFERROR(IF(MATCH(R86,$N$85:$N$92,0)&gt;0,0,1),1)</f>
        <v>0</v>
      </c>
    </row>
    <row r="91" spans="4:21" x14ac:dyDescent="0.2">
      <c r="D91" s="85" t="s">
        <v>22</v>
      </c>
      <c r="L91" s="92" t="str">
        <f>N61</f>
        <v>Frankrike</v>
      </c>
      <c r="N91" s="92" t="str">
        <f>R73</f>
        <v>Spanien</v>
      </c>
      <c r="O91">
        <f t="shared" si="203"/>
        <v>0</v>
      </c>
      <c r="Q91">
        <f t="shared" si="207"/>
        <v>0</v>
      </c>
      <c r="S91">
        <f t="shared" si="208"/>
        <v>0</v>
      </c>
    </row>
    <row r="92" spans="4:21" x14ac:dyDescent="0.2">
      <c r="D92" s="85" t="s">
        <v>24</v>
      </c>
      <c r="L92" s="92" t="str">
        <f>O61</f>
        <v>Mexiko</v>
      </c>
      <c r="N92" s="92" t="str">
        <f>S73</f>
        <v>Portugal</v>
      </c>
      <c r="O92">
        <f t="shared" si="203"/>
        <v>0</v>
      </c>
      <c r="Q92">
        <f t="shared" si="207"/>
        <v>0</v>
      </c>
      <c r="S92">
        <f t="shared" si="208"/>
        <v>0</v>
      </c>
    </row>
    <row r="93" spans="4:21" x14ac:dyDescent="0.2">
      <c r="D93" s="85" t="s">
        <v>351</v>
      </c>
      <c r="L93" s="92" t="str">
        <f>N70</f>
        <v>Tyskland</v>
      </c>
      <c r="S93">
        <f>IFERROR(IF(MATCH(R85,$L$85:$L$100,0)&gt;0,0,1),1)</f>
        <v>0</v>
      </c>
    </row>
    <row r="94" spans="4:21" x14ac:dyDescent="0.2">
      <c r="D94" s="85" t="s">
        <v>202</v>
      </c>
      <c r="L94" s="92" t="str">
        <f>O70</f>
        <v>Kroatien</v>
      </c>
      <c r="S94">
        <f t="shared" ref="S94:S96" si="209">IFERROR(IF(MATCH(R86,$L$85:$L$100,0)&gt;0,0,1),1)</f>
        <v>0</v>
      </c>
    </row>
    <row r="95" spans="4:21" x14ac:dyDescent="0.2">
      <c r="D95" s="85" t="s">
        <v>175</v>
      </c>
      <c r="L95" s="92" t="str">
        <f>N73</f>
        <v>Brasilien</v>
      </c>
      <c r="S95">
        <f t="shared" si="209"/>
        <v>0</v>
      </c>
    </row>
    <row r="96" spans="4:21" x14ac:dyDescent="0.2">
      <c r="D96" s="85" t="s">
        <v>350</v>
      </c>
      <c r="L96" s="92" t="str">
        <f>O73</f>
        <v>Uruguay</v>
      </c>
      <c r="S96">
        <f t="shared" si="209"/>
        <v>0</v>
      </c>
    </row>
    <row r="97" spans="4:18" x14ac:dyDescent="0.2">
      <c r="D97" s="85" t="s">
        <v>349</v>
      </c>
      <c r="L97" s="92" t="str">
        <f>N76</f>
        <v>Belgien</v>
      </c>
    </row>
    <row r="98" spans="4:18" x14ac:dyDescent="0.2">
      <c r="D98" s="85" t="s">
        <v>20</v>
      </c>
      <c r="L98" s="92" t="str">
        <f>O76</f>
        <v>Spanien</v>
      </c>
    </row>
    <row r="99" spans="4:18" x14ac:dyDescent="0.2">
      <c r="D99" s="85" t="s">
        <v>203</v>
      </c>
      <c r="L99" s="92" t="str">
        <f>N79</f>
        <v>Portugal</v>
      </c>
    </row>
    <row r="100" spans="4:18" x14ac:dyDescent="0.2">
      <c r="D100" s="85" t="s">
        <v>208</v>
      </c>
      <c r="L100" s="92" t="str">
        <f>O79</f>
        <v>Kamerun</v>
      </c>
    </row>
    <row r="101" spans="4:18" x14ac:dyDescent="0.2">
      <c r="D101" s="85" t="s">
        <v>345</v>
      </c>
    </row>
    <row r="102" spans="4:18" x14ac:dyDescent="0.2">
      <c r="D102" s="85" t="s">
        <v>40</v>
      </c>
    </row>
    <row r="103" spans="4:18" x14ac:dyDescent="0.2">
      <c r="D103" s="85" t="s">
        <v>26</v>
      </c>
      <c r="L103" s="129" t="s">
        <v>304</v>
      </c>
      <c r="M103" s="129"/>
      <c r="N103" s="129"/>
      <c r="O103" s="129"/>
      <c r="P103" s="129"/>
      <c r="Q103" s="129"/>
      <c r="R103" s="129"/>
    </row>
    <row r="104" spans="4:18" x14ac:dyDescent="0.2">
      <c r="D104" s="85" t="s">
        <v>343</v>
      </c>
    </row>
    <row r="105" spans="4:18" x14ac:dyDescent="0.2">
      <c r="D105" s="85" t="s">
        <v>199</v>
      </c>
      <c r="L105" s="8" t="s">
        <v>268</v>
      </c>
      <c r="N105" s="8" t="s">
        <v>266</v>
      </c>
      <c r="P105" s="8" t="s">
        <v>267</v>
      </c>
      <c r="R105" s="8" t="s">
        <v>269</v>
      </c>
    </row>
    <row r="106" spans="4:18" x14ac:dyDescent="0.2">
      <c r="D106" s="85" t="s">
        <v>23</v>
      </c>
      <c r="L106" s="92">
        <f>IFERROR(INDEX(Rätta!$C$78:$C$81,MATCH(1,Rätta!$D$78:$D$81,0),),0)</f>
        <v>0</v>
      </c>
      <c r="N106" s="92" t="str">
        <f>Rätta!D156</f>
        <v>-</v>
      </c>
      <c r="P106" s="92" t="str">
        <f>Rätta!D172</f>
        <v>-</v>
      </c>
      <c r="R106" s="93" t="str">
        <f>Rätta!D184</f>
        <v>-</v>
      </c>
    </row>
    <row r="107" spans="4:18" x14ac:dyDescent="0.2">
      <c r="D107" s="85" t="s">
        <v>212</v>
      </c>
      <c r="L107" s="92">
        <f>IFERROR(INDEX(Rätta!$C$78:$C$81,MATCH(2,Rätta!$D$78:$D$81,0),),0)</f>
        <v>0</v>
      </c>
      <c r="N107" s="92" t="str">
        <f>Rätta!D157</f>
        <v>-</v>
      </c>
      <c r="P107" s="92" t="str">
        <f>Rätta!D173</f>
        <v>-</v>
      </c>
      <c r="R107" s="93" t="str">
        <f>Rätta!D185</f>
        <v>-</v>
      </c>
    </row>
    <row r="108" spans="4:18" x14ac:dyDescent="0.2">
      <c r="D108" s="85" t="s">
        <v>207</v>
      </c>
      <c r="L108" s="92">
        <f>IFERROR(INDEX(Rätta!$C$84:$C$87,MATCH(1,Rätta!$D$84:$D$87,0),),0)</f>
        <v>0</v>
      </c>
      <c r="N108" s="92" t="str">
        <f>Rätta!D158</f>
        <v>-</v>
      </c>
      <c r="P108" s="92" t="str">
        <f>Rätta!D174</f>
        <v>-</v>
      </c>
      <c r="R108" s="92" t="str">
        <f>Rätta!D186</f>
        <v>-</v>
      </c>
    </row>
    <row r="109" spans="4:18" x14ac:dyDescent="0.2">
      <c r="D109" s="85" t="s">
        <v>21</v>
      </c>
      <c r="L109" s="92">
        <f>IFERROR(INDEX(Rätta!$C$84:$C$87,MATCH(2,Rätta!$D$84:$D$87,0),),0)</f>
        <v>0</v>
      </c>
      <c r="N109" s="92" t="str">
        <f>Rätta!D159</f>
        <v>-</v>
      </c>
      <c r="P109" s="92" t="str">
        <f>Rätta!D175</f>
        <v>-</v>
      </c>
      <c r="R109" s="92" t="str">
        <f>Rätta!D187</f>
        <v>-</v>
      </c>
    </row>
    <row r="110" spans="4:18" x14ac:dyDescent="0.2">
      <c r="D110" s="85" t="s">
        <v>209</v>
      </c>
      <c r="L110" s="92">
        <f>IFERROR(INDEX(Rätta!$C$90:$C$93,MATCH(1,Rätta!$D$90:$D$93,0),),0)</f>
        <v>0</v>
      </c>
      <c r="N110" s="92" t="str">
        <f>Rätta!D160</f>
        <v>-</v>
      </c>
      <c r="P110" s="89" t="s">
        <v>15</v>
      </c>
    </row>
    <row r="111" spans="4:18" x14ac:dyDescent="0.2">
      <c r="D111" s="85" t="s">
        <v>211</v>
      </c>
      <c r="L111" s="92">
        <f>IFERROR(INDEX(Rätta!$C$90:$C$93,MATCH(2,Rätta!$D$90:$D$93,0),),0)</f>
        <v>0</v>
      </c>
      <c r="N111" s="92" t="str">
        <f>Rätta!D161</f>
        <v>-</v>
      </c>
    </row>
    <row r="112" spans="4:18" x14ac:dyDescent="0.2">
      <c r="D112" s="85" t="s">
        <v>25</v>
      </c>
      <c r="L112" s="92">
        <f>IFERROR(INDEX(Rätta!$C$96:$C$99,MATCH(1,Rätta!$D$96:$D$99,0),),0)</f>
        <v>0</v>
      </c>
      <c r="N112" s="92" t="str">
        <f>Rätta!D162</f>
        <v>-</v>
      </c>
    </row>
    <row r="113" spans="4:14" x14ac:dyDescent="0.2">
      <c r="D113" s="85" t="s">
        <v>201</v>
      </c>
      <c r="L113" s="92">
        <f>IFERROR(INDEX(Rätta!$C$96:$C$99,MATCH(2,Rätta!$D$96:$D$99,0),),0)</f>
        <v>0</v>
      </c>
      <c r="N113" s="92" t="str">
        <f>Rätta!D163</f>
        <v>-</v>
      </c>
    </row>
    <row r="114" spans="4:14" x14ac:dyDescent="0.2">
      <c r="D114" s="85" t="s">
        <v>346</v>
      </c>
      <c r="L114" s="92">
        <f>IFERROR(INDEX(Rätta!$C$102:$C$105,MATCH(1,Rätta!$D$102:$D$105,0),),0)</f>
        <v>0</v>
      </c>
      <c r="N114" s="89" t="s">
        <v>15</v>
      </c>
    </row>
    <row r="115" spans="4:14" x14ac:dyDescent="0.2">
      <c r="D115" s="86" t="s">
        <v>347</v>
      </c>
      <c r="L115" s="92">
        <f>IFERROR(INDEX(Rätta!$C$102:$C$105,MATCH(2,Rätta!$D$102:$D$105,0),),0)</f>
        <v>0</v>
      </c>
    </row>
    <row r="116" spans="4:14" x14ac:dyDescent="0.2">
      <c r="L116" s="92">
        <f>IFERROR(INDEX(Rätta!$C$108:$C$111,MATCH(1,Rätta!$D$108:$D$111,0),),0)</f>
        <v>0</v>
      </c>
    </row>
    <row r="117" spans="4:14" x14ac:dyDescent="0.2">
      <c r="L117" s="92">
        <f>IFERROR(INDEX(Rätta!$C$108:$C$111,MATCH(2,Rätta!$D$108:$D$111,0),),0)</f>
        <v>0</v>
      </c>
    </row>
    <row r="118" spans="4:14" x14ac:dyDescent="0.2">
      <c r="L118" s="92">
        <f>IFERROR(INDEX(Rätta!$C$114:$C$117,MATCH(1,Rätta!$D$114:$D$117,0),),0)</f>
        <v>0</v>
      </c>
    </row>
    <row r="119" spans="4:14" x14ac:dyDescent="0.2">
      <c r="L119" s="92">
        <f>IFERROR(INDEX(Rätta!$C$114:$C$117,MATCH(2,Rätta!$D$114:$D$117,0),),0)</f>
        <v>0</v>
      </c>
    </row>
    <row r="120" spans="4:14" x14ac:dyDescent="0.2">
      <c r="L120" s="92">
        <f>IFERROR(INDEX(Rätta!$C$120:$C$123,MATCH(1,Rätta!$D$120:$D$123,0),),0)</f>
        <v>0</v>
      </c>
    </row>
    <row r="121" spans="4:14" x14ac:dyDescent="0.2">
      <c r="L121" s="92">
        <f>IFERROR(INDEX(Rätta!$C$120:$C$123,MATCH(2,Rätta!$D$120:$D$123,0),),0)</f>
        <v>0</v>
      </c>
    </row>
    <row r="122" spans="4:14" x14ac:dyDescent="0.2">
      <c r="L122" s="89" t="s">
        <v>15</v>
      </c>
    </row>
  </sheetData>
  <sortState xmlns:xlrd2="http://schemas.microsoft.com/office/spreadsheetml/2017/richdata2" ref="D126:D164">
    <sortCondition ref="D126:D164"/>
  </sortState>
  <mergeCells count="4">
    <mergeCell ref="AF2:AJ2"/>
    <mergeCell ref="B3:K3"/>
    <mergeCell ref="X3:Z3"/>
    <mergeCell ref="AA3:AC3"/>
  </mergeCells>
  <pageMargins left="0.7" right="0.7" top="0.75" bottom="0.75" header="0.3" footer="0.3"/>
  <pageSetup paperSize="9" orientation="portrait" r:id="rId1"/>
  <ignoredErrors>
    <ignoredError sqref="AT5:AU10 AT13:AU18 AT21:AU66 AV11:AW12 AV35:AW36 AV19:AW20 AV27:AW28 AV43:AW44 AV51:AW52 AV59:AW60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34"/>
  <sheetViews>
    <sheetView topLeftCell="A2" zoomScale="190" zoomScaleNormal="190" workbookViewId="0">
      <selection activeCell="B34" sqref="B34"/>
    </sheetView>
  </sheetViews>
  <sheetFormatPr defaultRowHeight="12.75" x14ac:dyDescent="0.2"/>
  <cols>
    <col min="2" max="2" width="22" customWidth="1"/>
  </cols>
  <sheetData>
    <row r="2" spans="2:15" s="87" customFormat="1" ht="33" customHeight="1" x14ac:dyDescent="0.2">
      <c r="B2" s="81" t="s">
        <v>173</v>
      </c>
    </row>
    <row r="3" spans="2:15" s="87" customFormat="1" ht="33" customHeight="1" x14ac:dyDescent="0.2">
      <c r="B3" s="81" t="s">
        <v>204</v>
      </c>
    </row>
    <row r="4" spans="2:15" s="87" customFormat="1" ht="33" customHeight="1" x14ac:dyDescent="0.2">
      <c r="B4" s="81" t="s">
        <v>27</v>
      </c>
      <c r="I4" s="131"/>
    </row>
    <row r="5" spans="2:15" s="87" customFormat="1" ht="33" customHeight="1" x14ac:dyDescent="0.2">
      <c r="B5" s="81" t="s">
        <v>172</v>
      </c>
      <c r="I5" s="132"/>
      <c r="J5"/>
    </row>
    <row r="6" spans="2:15" s="87" customFormat="1" ht="33" customHeight="1" x14ac:dyDescent="0.2">
      <c r="B6" s="81" t="s">
        <v>254</v>
      </c>
      <c r="F6"/>
      <c r="I6" s="132"/>
      <c r="J6"/>
      <c r="M6"/>
      <c r="O6"/>
    </row>
    <row r="7" spans="2:15" s="87" customFormat="1" ht="33" customHeight="1" x14ac:dyDescent="0.2">
      <c r="B7" s="81" t="s">
        <v>205</v>
      </c>
      <c r="I7" s="132"/>
      <c r="J7"/>
      <c r="M7"/>
      <c r="N7"/>
    </row>
    <row r="8" spans="2:15" s="87" customFormat="1" ht="33" customHeight="1" x14ac:dyDescent="0.2">
      <c r="B8" s="81" t="s">
        <v>344</v>
      </c>
      <c r="I8" s="132"/>
      <c r="J8"/>
      <c r="M8"/>
    </row>
    <row r="9" spans="2:15" s="87" customFormat="1" ht="33" customHeight="1" x14ac:dyDescent="0.2">
      <c r="B9" s="81" t="s">
        <v>22</v>
      </c>
      <c r="I9" s="132"/>
      <c r="J9"/>
      <c r="M9"/>
    </row>
    <row r="10" spans="2:15" s="87" customFormat="1" ht="33" customHeight="1" x14ac:dyDescent="0.2">
      <c r="B10" s="81" t="s">
        <v>24</v>
      </c>
      <c r="I10" s="132"/>
      <c r="J10"/>
      <c r="M10"/>
    </row>
    <row r="11" spans="2:15" s="87" customFormat="1" ht="33" customHeight="1" x14ac:dyDescent="0.2">
      <c r="B11" s="81" t="s">
        <v>351</v>
      </c>
      <c r="F11"/>
      <c r="I11" s="132"/>
      <c r="J11"/>
      <c r="M11"/>
    </row>
    <row r="12" spans="2:15" s="87" customFormat="1" ht="33" customHeight="1" x14ac:dyDescent="0.2">
      <c r="B12" s="81" t="s">
        <v>202</v>
      </c>
      <c r="I12" s="132"/>
      <c r="J12"/>
      <c r="M12"/>
    </row>
    <row r="13" spans="2:15" s="87" customFormat="1" ht="33" customHeight="1" x14ac:dyDescent="0.2">
      <c r="B13" s="81" t="s">
        <v>175</v>
      </c>
      <c r="I13" s="132"/>
      <c r="J13"/>
      <c r="M13"/>
    </row>
    <row r="14" spans="2:15" s="87" customFormat="1" ht="33" customHeight="1" x14ac:dyDescent="0.2">
      <c r="B14" s="81" t="s">
        <v>350</v>
      </c>
      <c r="F14"/>
      <c r="I14" s="132"/>
      <c r="J14"/>
      <c r="M14"/>
    </row>
    <row r="15" spans="2:15" s="87" customFormat="1" ht="33" customHeight="1" x14ac:dyDescent="0.2">
      <c r="B15" s="81" t="s">
        <v>349</v>
      </c>
      <c r="I15" s="132"/>
      <c r="J15"/>
      <c r="M15"/>
    </row>
    <row r="16" spans="2:15" s="87" customFormat="1" ht="33" customHeight="1" x14ac:dyDescent="0.2">
      <c r="B16" s="81" t="s">
        <v>20</v>
      </c>
      <c r="I16" s="132"/>
      <c r="J16"/>
      <c r="M16"/>
    </row>
    <row r="17" spans="2:13" s="87" customFormat="1" ht="33" customHeight="1" x14ac:dyDescent="0.2">
      <c r="B17" s="81" t="s">
        <v>203</v>
      </c>
      <c r="I17" s="132"/>
      <c r="J17"/>
      <c r="L17"/>
      <c r="M17"/>
    </row>
    <row r="18" spans="2:13" s="87" customFormat="1" ht="33" customHeight="1" x14ac:dyDescent="0.2">
      <c r="B18" s="81" t="s">
        <v>208</v>
      </c>
      <c r="I18" s="132"/>
      <c r="J18"/>
      <c r="M18"/>
    </row>
    <row r="19" spans="2:13" s="87" customFormat="1" ht="33" customHeight="1" x14ac:dyDescent="0.2">
      <c r="B19" s="81" t="s">
        <v>345</v>
      </c>
      <c r="I19" s="132"/>
      <c r="J19"/>
      <c r="M19"/>
    </row>
    <row r="20" spans="2:13" s="87" customFormat="1" ht="33" customHeight="1" x14ac:dyDescent="0.2">
      <c r="B20" s="81" t="s">
        <v>40</v>
      </c>
      <c r="E20"/>
      <c r="J20"/>
      <c r="M20"/>
    </row>
    <row r="21" spans="2:13" s="87" customFormat="1" ht="33" customHeight="1" x14ac:dyDescent="0.2">
      <c r="B21" s="81" t="s">
        <v>26</v>
      </c>
      <c r="G21"/>
      <c r="M21"/>
    </row>
    <row r="22" spans="2:13" s="87" customFormat="1" ht="33" customHeight="1" x14ac:dyDescent="0.2">
      <c r="B22" s="81" t="s">
        <v>343</v>
      </c>
    </row>
    <row r="23" spans="2:13" s="87" customFormat="1" ht="33" customHeight="1" x14ac:dyDescent="0.2">
      <c r="B23" s="81" t="s">
        <v>199</v>
      </c>
    </row>
    <row r="24" spans="2:13" s="87" customFormat="1" ht="33" customHeight="1" x14ac:dyDescent="0.2">
      <c r="B24" s="81" t="s">
        <v>23</v>
      </c>
    </row>
    <row r="25" spans="2:13" s="87" customFormat="1" ht="33" customHeight="1" x14ac:dyDescent="0.2">
      <c r="B25" s="81" t="s">
        <v>212</v>
      </c>
    </row>
    <row r="26" spans="2:13" s="87" customFormat="1" ht="33" customHeight="1" x14ac:dyDescent="0.2">
      <c r="B26" s="81" t="s">
        <v>207</v>
      </c>
    </row>
    <row r="27" spans="2:13" s="87" customFormat="1" ht="33" customHeight="1" x14ac:dyDescent="0.2">
      <c r="B27" s="81" t="s">
        <v>21</v>
      </c>
    </row>
    <row r="28" spans="2:13" s="87" customFormat="1" ht="33" customHeight="1" x14ac:dyDescent="0.2">
      <c r="B28" s="81" t="s">
        <v>209</v>
      </c>
    </row>
    <row r="29" spans="2:13" s="87" customFormat="1" ht="33" customHeight="1" x14ac:dyDescent="0.2">
      <c r="B29" s="81" t="s">
        <v>211</v>
      </c>
    </row>
    <row r="30" spans="2:13" s="87" customFormat="1" ht="33" customHeight="1" x14ac:dyDescent="0.2">
      <c r="B30" s="81" t="s">
        <v>25</v>
      </c>
    </row>
    <row r="31" spans="2:13" s="87" customFormat="1" ht="33" customHeight="1" x14ac:dyDescent="0.2">
      <c r="B31" s="81" t="s">
        <v>201</v>
      </c>
    </row>
    <row r="32" spans="2:13" ht="33" customHeight="1" x14ac:dyDescent="0.2">
      <c r="B32" s="81" t="s">
        <v>346</v>
      </c>
    </row>
    <row r="33" spans="2:2" ht="33" customHeight="1" x14ac:dyDescent="0.2">
      <c r="B33" s="81" t="s">
        <v>347</v>
      </c>
    </row>
    <row r="34" spans="2:2" ht="27.75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36</vt:i4>
      </vt:variant>
    </vt:vector>
  </HeadingPairs>
  <TitlesOfParts>
    <vt:vector size="41" baseType="lpstr">
      <vt:lpstr>Tippa</vt:lpstr>
      <vt:lpstr>Rätta</vt:lpstr>
      <vt:lpstr>Kolla</vt:lpstr>
      <vt:lpstr>Beräkningar</vt:lpstr>
      <vt:lpstr>Bilder</vt:lpstr>
      <vt:lpstr>Argentina</vt:lpstr>
      <vt:lpstr>Australien</vt:lpstr>
      <vt:lpstr>Belgien</vt:lpstr>
      <vt:lpstr>BILDFRI</vt:lpstr>
      <vt:lpstr>Brasilien</vt:lpstr>
      <vt:lpstr>CostaRica</vt:lpstr>
      <vt:lpstr>Danmark</vt:lpstr>
      <vt:lpstr>Ecuador</vt:lpstr>
      <vt:lpstr>Egypten</vt:lpstr>
      <vt:lpstr>England</vt:lpstr>
      <vt:lpstr>Frankrike</vt:lpstr>
      <vt:lpstr>Ghana</vt:lpstr>
      <vt:lpstr>Iran</vt:lpstr>
      <vt:lpstr>Japan</vt:lpstr>
      <vt:lpstr>Kamerun</vt:lpstr>
      <vt:lpstr>Kanada</vt:lpstr>
      <vt:lpstr>Kroatien</vt:lpstr>
      <vt:lpstr>Marocko</vt:lpstr>
      <vt:lpstr>Mexiko</vt:lpstr>
      <vt:lpstr>Nederländerna</vt:lpstr>
      <vt:lpstr>Nigeria</vt:lpstr>
      <vt:lpstr>Polen</vt:lpstr>
      <vt:lpstr>Portugal</vt:lpstr>
      <vt:lpstr>Qatar</vt:lpstr>
      <vt:lpstr>Ryssland</vt:lpstr>
      <vt:lpstr>Saudiarabien</vt:lpstr>
      <vt:lpstr>Schweiz</vt:lpstr>
      <vt:lpstr>Senegal</vt:lpstr>
      <vt:lpstr>Serbien</vt:lpstr>
      <vt:lpstr>Spanien</vt:lpstr>
      <vt:lpstr>Sydkorea</vt:lpstr>
      <vt:lpstr>Tunisien</vt:lpstr>
      <vt:lpstr>Tyskland</vt:lpstr>
      <vt:lpstr>Uruguay</vt:lpstr>
      <vt:lpstr>USA</vt:lpstr>
      <vt:lpstr>Wales</vt:lpstr>
    </vt:vector>
  </TitlesOfParts>
  <Company>Samma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Thiger</dc:creator>
  <cp:lastModifiedBy>46730</cp:lastModifiedBy>
  <cp:lastPrinted>2014-06-13T09:06:29Z</cp:lastPrinted>
  <dcterms:created xsi:type="dcterms:W3CDTF">2006-04-25T18:25:12Z</dcterms:created>
  <dcterms:modified xsi:type="dcterms:W3CDTF">2022-11-19T08:35:28Z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Name">
    <vt:lpwstr/>
  </property>
</Properties>
</file>